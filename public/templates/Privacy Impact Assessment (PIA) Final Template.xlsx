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mccalzado\Downloads\OneDrive_1_5-7-2026\"/>
    </mc:Choice>
  </mc:AlternateContent>
  <xr:revisionPtr revIDLastSave="0" documentId="13_ncr:1_{FFAAFAAC-03EF-4EE1-8541-A057DA3EC241}" xr6:coauthVersionLast="47" xr6:coauthVersionMax="47" xr10:uidLastSave="{00000000-0000-0000-0000-000000000000}"/>
  <bookViews>
    <workbookView xWindow="14295" yWindow="0" windowWidth="14610" windowHeight="15585" firstSheet="8" activeTab="9" xr2:uid="{00000000-000D-0000-FFFF-FFFF00000000}"/>
  </bookViews>
  <sheets>
    <sheet name="Cover Page" sheetId="35" r:id="rId1"/>
    <sheet name="Project-System Description " sheetId="23" r:id="rId2"/>
    <sheet name="P1 Threshold Analysis" sheetId="10" r:id="rId3"/>
    <sheet name="P1 Stakeholder Engagement" sheetId="9" r:id="rId4"/>
    <sheet name="P2 Data Mapping" sheetId="18" r:id="rId5"/>
    <sheet name="P3 Gen Data Privacy Principles" sheetId="14" r:id="rId6"/>
    <sheet name="P3 Data Subject Rights" sheetId="15" r:id="rId7"/>
    <sheet name="P3 Data Security" sheetId="16" r:id="rId8"/>
    <sheet name="P3 Cross-border Data Flows" sheetId="17" r:id="rId9"/>
    <sheet name="Risk Treatment Plan" sheetId="36" r:id="rId10"/>
    <sheet name="Mitigation Map" sheetId="37" state="hidden" r:id="rId11"/>
    <sheet name="Privacy Risk Map" sheetId="33" r:id="rId12"/>
    <sheet name="Sign-Off" sheetId="3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6" l="1"/>
  <c r="D5" i="36"/>
  <c r="D6" i="36"/>
  <c r="D7" i="36"/>
  <c r="D8" i="36"/>
  <c r="D9" i="36"/>
  <c r="H20" i="23"/>
  <c r="K153" i="16"/>
  <c r="K152" i="16"/>
  <c r="K151" i="16"/>
  <c r="K135" i="16"/>
  <c r="K129" i="16"/>
  <c r="K121" i="16"/>
  <c r="K104" i="16"/>
  <c r="K51" i="16"/>
  <c r="K32" i="16"/>
  <c r="K31" i="16"/>
  <c r="K30" i="16"/>
  <c r="K12" i="16"/>
  <c r="K39" i="15"/>
  <c r="K36" i="15"/>
  <c r="K21" i="15"/>
  <c r="K20" i="15"/>
  <c r="K19" i="15"/>
  <c r="K18" i="15"/>
  <c r="I24" i="14"/>
  <c r="H24" i="14"/>
  <c r="I25" i="14"/>
  <c r="I26" i="14"/>
  <c r="I27" i="14"/>
  <c r="I28" i="14"/>
  <c r="H25" i="14"/>
  <c r="H26" i="14"/>
  <c r="H27" i="14"/>
  <c r="H28" i="14"/>
  <c r="H20" i="14"/>
  <c r="H32" i="14"/>
  <c r="I37" i="15"/>
  <c r="I4" i="16"/>
  <c r="L36" i="15"/>
  <c r="I36" i="15"/>
  <c r="M36" i="15"/>
  <c r="M37" i="15"/>
  <c r="L37" i="15"/>
  <c r="H78" i="37"/>
  <c r="J47" i="36"/>
  <c r="K47" i="36" s="1"/>
  <c r="J48" i="36"/>
  <c r="K48" i="36" s="1"/>
  <c r="J49" i="36"/>
  <c r="K49" i="36" s="1"/>
  <c r="J50" i="36"/>
  <c r="K50" i="36" s="1"/>
  <c r="K24" i="14"/>
  <c r="M21" i="15"/>
  <c r="L21" i="15"/>
  <c r="M20" i="15"/>
  <c r="L20" i="15"/>
  <c r="M19" i="15"/>
  <c r="L19" i="15"/>
  <c r="M18" i="15"/>
  <c r="L18" i="15"/>
  <c r="M17" i="15"/>
  <c r="L17" i="15"/>
  <c r="M11" i="15"/>
  <c r="L11" i="15"/>
  <c r="J151" i="16"/>
  <c r="I6" i="16"/>
  <c r="I12" i="16"/>
  <c r="J236" i="37"/>
  <c r="J235" i="37"/>
  <c r="J234" i="37"/>
  <c r="J218" i="37"/>
  <c r="J212" i="37"/>
  <c r="J204" i="37"/>
  <c r="J187" i="37"/>
  <c r="J134" i="37"/>
  <c r="J115" i="37"/>
  <c r="J114" i="37"/>
  <c r="J113" i="37"/>
  <c r="J95" i="37"/>
  <c r="H95" i="37"/>
  <c r="G98" i="37"/>
  <c r="G99" i="37"/>
  <c r="G100" i="37"/>
  <c r="G101" i="37"/>
  <c r="G102" i="37"/>
  <c r="G97" i="37"/>
  <c r="E98" i="37"/>
  <c r="E99" i="37"/>
  <c r="E100" i="37"/>
  <c r="E101" i="37"/>
  <c r="E102" i="37"/>
  <c r="E97" i="37"/>
  <c r="G89" i="37"/>
  <c r="G90" i="37"/>
  <c r="G91" i="37"/>
  <c r="G92" i="37"/>
  <c r="G93" i="37"/>
  <c r="G94" i="37"/>
  <c r="G88" i="37"/>
  <c r="G87" i="37"/>
  <c r="E89" i="37"/>
  <c r="E90" i="37"/>
  <c r="E91" i="37"/>
  <c r="E92" i="37"/>
  <c r="E93" i="37"/>
  <c r="E94" i="37"/>
  <c r="E95" i="37"/>
  <c r="E88" i="37"/>
  <c r="G84" i="37"/>
  <c r="G82" i="37"/>
  <c r="J80" i="37"/>
  <c r="G80" i="37"/>
  <c r="H77" i="37"/>
  <c r="G78" i="37"/>
  <c r="G77" i="37"/>
  <c r="G75" i="37"/>
  <c r="G65" i="37"/>
  <c r="G66" i="37"/>
  <c r="G67" i="37"/>
  <c r="G68" i="37"/>
  <c r="G69" i="37"/>
  <c r="G70" i="37"/>
  <c r="G71" i="37"/>
  <c r="G72" i="37"/>
  <c r="G73" i="37"/>
  <c r="G64" i="37"/>
  <c r="H54" i="37"/>
  <c r="I54" i="37"/>
  <c r="J54" i="37"/>
  <c r="K54" i="37"/>
  <c r="L54" i="37"/>
  <c r="M54" i="37"/>
  <c r="H55" i="37"/>
  <c r="I55" i="37"/>
  <c r="J55" i="37"/>
  <c r="K55" i="37"/>
  <c r="L55" i="37"/>
  <c r="M55" i="37"/>
  <c r="H56" i="37"/>
  <c r="I56" i="37"/>
  <c r="J56" i="37"/>
  <c r="K56" i="37"/>
  <c r="L56" i="37"/>
  <c r="M56" i="37"/>
  <c r="H57" i="37"/>
  <c r="I57" i="37"/>
  <c r="J57" i="37"/>
  <c r="K57" i="37"/>
  <c r="L57" i="37"/>
  <c r="M57" i="37"/>
  <c r="G53" i="37"/>
  <c r="G54" i="37"/>
  <c r="G55" i="37"/>
  <c r="G56" i="37"/>
  <c r="G57" i="37"/>
  <c r="G58" i="37"/>
  <c r="G59" i="37"/>
  <c r="G60" i="37"/>
  <c r="G61" i="37"/>
  <c r="G62" i="37"/>
  <c r="G52" i="37"/>
  <c r="E84" i="37"/>
  <c r="E82" i="37"/>
  <c r="E80" i="37"/>
  <c r="E78" i="37"/>
  <c r="E77" i="37"/>
  <c r="E75" i="37"/>
  <c r="E74" i="37"/>
  <c r="E65" i="37"/>
  <c r="E66" i="37"/>
  <c r="E67" i="37"/>
  <c r="E68" i="37"/>
  <c r="E69" i="37"/>
  <c r="E70" i="37"/>
  <c r="E71" i="37"/>
  <c r="E72" i="37"/>
  <c r="E73" i="37"/>
  <c r="E64" i="37"/>
  <c r="E58" i="37"/>
  <c r="E59" i="37"/>
  <c r="E60" i="37"/>
  <c r="E61" i="37"/>
  <c r="E62" i="37"/>
  <c r="F45" i="37"/>
  <c r="F46" i="37"/>
  <c r="F47" i="37"/>
  <c r="F48" i="37"/>
  <c r="F49" i="37"/>
  <c r="F44" i="37"/>
  <c r="F42" i="37"/>
  <c r="F33" i="37"/>
  <c r="F34" i="37"/>
  <c r="F35" i="37"/>
  <c r="F36" i="37"/>
  <c r="F37" i="37"/>
  <c r="F38" i="37"/>
  <c r="F39" i="37"/>
  <c r="F40" i="37"/>
  <c r="F32" i="37"/>
  <c r="F30" i="37"/>
  <c r="B25" i="37"/>
  <c r="D25" i="37"/>
  <c r="E25" i="37"/>
  <c r="F25" i="37"/>
  <c r="G25" i="37"/>
  <c r="B26" i="37"/>
  <c r="D26" i="37"/>
  <c r="E26" i="37"/>
  <c r="F26" i="37"/>
  <c r="G26" i="37"/>
  <c r="B27" i="37"/>
  <c r="D27" i="37"/>
  <c r="E27" i="37"/>
  <c r="F27" i="37"/>
  <c r="G27" i="37"/>
  <c r="B28" i="37"/>
  <c r="D28" i="37"/>
  <c r="E28" i="37"/>
  <c r="F28" i="37"/>
  <c r="G28" i="37"/>
  <c r="G24" i="37"/>
  <c r="F24" i="37"/>
  <c r="E24" i="37"/>
  <c r="D24" i="37"/>
  <c r="B24" i="37"/>
  <c r="F21" i="37"/>
  <c r="F20" i="37"/>
  <c r="F18" i="37"/>
  <c r="F8" i="37"/>
  <c r="F9" i="37"/>
  <c r="F10" i="37"/>
  <c r="F11" i="37"/>
  <c r="F12" i="37"/>
  <c r="F13" i="37"/>
  <c r="F14" i="37"/>
  <c r="F15" i="37"/>
  <c r="F16" i="37"/>
  <c r="F17" i="37"/>
  <c r="F7" i="37"/>
  <c r="H21" i="14"/>
  <c r="I20" i="14"/>
  <c r="K43" i="15"/>
  <c r="J84" i="37" s="1"/>
  <c r="J44" i="14"/>
  <c r="J7" i="14"/>
  <c r="I129" i="16"/>
  <c r="H212" i="37" s="1"/>
  <c r="J129" i="16"/>
  <c r="I212" i="37" s="1"/>
  <c r="K34" i="15"/>
  <c r="J75" i="37" s="1"/>
  <c r="L23" i="15"/>
  <c r="K64" i="37" s="1"/>
  <c r="K23" i="15"/>
  <c r="J64" i="37" s="1"/>
  <c r="J62" i="37"/>
  <c r="J61" i="37"/>
  <c r="J60" i="37"/>
  <c r="J59" i="37"/>
  <c r="H18" i="14"/>
  <c r="H44" i="14"/>
  <c r="D17" i="10"/>
  <c r="L20" i="14"/>
  <c r="K20" i="14"/>
  <c r="L18" i="14"/>
  <c r="K18" i="14"/>
  <c r="L7" i="14"/>
  <c r="K7" i="14"/>
  <c r="L44" i="37"/>
  <c r="K44" i="37"/>
  <c r="M44" i="37" s="1"/>
  <c r="J44" i="37"/>
  <c r="I44" i="37"/>
  <c r="H44" i="37"/>
  <c r="L42" i="37"/>
  <c r="K42" i="37"/>
  <c r="M42" i="37" s="1"/>
  <c r="J42" i="37"/>
  <c r="I42" i="37"/>
  <c r="H42" i="37"/>
  <c r="L37" i="37"/>
  <c r="K37" i="37"/>
  <c r="M37" i="37" s="1"/>
  <c r="J37" i="37"/>
  <c r="I37" i="37"/>
  <c r="H37" i="37"/>
  <c r="L32" i="37"/>
  <c r="K32" i="37"/>
  <c r="M32" i="37" s="1"/>
  <c r="J32" i="37"/>
  <c r="I32" i="37"/>
  <c r="H32" i="37"/>
  <c r="L30" i="37"/>
  <c r="K30" i="37"/>
  <c r="M30" i="37" s="1"/>
  <c r="J30" i="37"/>
  <c r="I30" i="37"/>
  <c r="H30" i="37"/>
  <c r="L28" i="37"/>
  <c r="K28" i="37"/>
  <c r="M28" i="37" s="1"/>
  <c r="J28" i="37"/>
  <c r="I28" i="37"/>
  <c r="H28" i="37"/>
  <c r="L27" i="37"/>
  <c r="K27" i="37"/>
  <c r="M27" i="37" s="1"/>
  <c r="J27" i="37"/>
  <c r="I27" i="37"/>
  <c r="H27" i="37"/>
  <c r="L26" i="37"/>
  <c r="K26" i="37"/>
  <c r="M26" i="37" s="1"/>
  <c r="J26" i="37"/>
  <c r="I26" i="37"/>
  <c r="H26" i="37"/>
  <c r="L25" i="37"/>
  <c r="K25" i="37"/>
  <c r="M25" i="37" s="1"/>
  <c r="J25" i="37"/>
  <c r="I25" i="37"/>
  <c r="H25" i="37"/>
  <c r="L21" i="37"/>
  <c r="K21" i="37"/>
  <c r="M21" i="37" s="1"/>
  <c r="J21" i="37"/>
  <c r="I21" i="37"/>
  <c r="H21" i="37"/>
  <c r="L20" i="37"/>
  <c r="K20" i="37"/>
  <c r="M20" i="37" s="1"/>
  <c r="J20" i="37"/>
  <c r="I20" i="37"/>
  <c r="H20" i="37"/>
  <c r="L18" i="37"/>
  <c r="K18" i="37"/>
  <c r="M18" i="37" s="1"/>
  <c r="J18" i="37"/>
  <c r="I18" i="37"/>
  <c r="H18" i="37"/>
  <c r="L7" i="37"/>
  <c r="K7" i="37"/>
  <c r="M7" i="37" s="1"/>
  <c r="J7" i="37"/>
  <c r="I7" i="37"/>
  <c r="H7" i="37"/>
  <c r="H7" i="14"/>
  <c r="I7" i="14"/>
  <c r="M11" i="17"/>
  <c r="L244" i="37" s="1"/>
  <c r="L11" i="17"/>
  <c r="K244" i="37" s="1"/>
  <c r="M144" i="16"/>
  <c r="L227" i="37" s="1"/>
  <c r="L144" i="16"/>
  <c r="K227" i="37" s="1"/>
  <c r="M129" i="16"/>
  <c r="L212" i="37" s="1"/>
  <c r="L129" i="16"/>
  <c r="K212" i="37" s="1"/>
  <c r="M121" i="16"/>
  <c r="L204" i="37" s="1"/>
  <c r="L121" i="16"/>
  <c r="K204" i="37" s="1"/>
  <c r="M104" i="16"/>
  <c r="L187" i="37" s="1"/>
  <c r="L104" i="16"/>
  <c r="K187" i="37" s="1"/>
  <c r="M51" i="16"/>
  <c r="L134" i="37" s="1"/>
  <c r="L51" i="16"/>
  <c r="K134" i="37" s="1"/>
  <c r="M32" i="16"/>
  <c r="L115" i="37" s="1"/>
  <c r="L32" i="16"/>
  <c r="K115" i="37" s="1"/>
  <c r="M12" i="16"/>
  <c r="L95" i="37" s="1"/>
  <c r="L12" i="16"/>
  <c r="K95" i="37" s="1"/>
  <c r="M6" i="16"/>
  <c r="L89" i="37" s="1"/>
  <c r="L6" i="16"/>
  <c r="K89" i="37" s="1"/>
  <c r="M12" i="15"/>
  <c r="L53" i="37" s="1"/>
  <c r="L12" i="15"/>
  <c r="K53" i="37" s="1"/>
  <c r="K21" i="14"/>
  <c r="L21" i="14"/>
  <c r="L24" i="14"/>
  <c r="K25" i="14"/>
  <c r="L25" i="14"/>
  <c r="K26" i="14"/>
  <c r="L26" i="14"/>
  <c r="K27" i="14"/>
  <c r="L27" i="14"/>
  <c r="K28" i="14"/>
  <c r="L28" i="14"/>
  <c r="K30" i="14"/>
  <c r="L30" i="14"/>
  <c r="K32" i="14"/>
  <c r="L32" i="14"/>
  <c r="K37" i="14"/>
  <c r="L37" i="14"/>
  <c r="K42" i="14"/>
  <c r="L42" i="14"/>
  <c r="K44" i="14"/>
  <c r="L44" i="14"/>
  <c r="I5" i="17"/>
  <c r="H238" i="37" s="1"/>
  <c r="M5" i="17"/>
  <c r="L238" i="37" s="1"/>
  <c r="L5" i="17"/>
  <c r="K238" i="37" s="1"/>
  <c r="L4" i="16"/>
  <c r="K87" i="37" s="1"/>
  <c r="M153" i="16"/>
  <c r="L236" i="37" s="1"/>
  <c r="L153" i="16"/>
  <c r="K236" i="37" s="1"/>
  <c r="M152" i="16"/>
  <c r="L235" i="37" s="1"/>
  <c r="L152" i="16"/>
  <c r="K235" i="37" s="1"/>
  <c r="M151" i="16"/>
  <c r="L234" i="37" s="1"/>
  <c r="L151" i="16"/>
  <c r="K234" i="37" s="1"/>
  <c r="L135" i="16"/>
  <c r="K218" i="37" s="1"/>
  <c r="L136" i="16"/>
  <c r="K219" i="37" s="1"/>
  <c r="M136" i="16"/>
  <c r="L219" i="37" s="1"/>
  <c r="M135" i="16"/>
  <c r="L218" i="37" s="1"/>
  <c r="M134" i="16"/>
  <c r="L217" i="37" s="1"/>
  <c r="L134" i="16"/>
  <c r="K217" i="37" s="1"/>
  <c r="L30" i="16"/>
  <c r="K113" i="37" s="1"/>
  <c r="M31" i="16"/>
  <c r="L114" i="37" s="1"/>
  <c r="L31" i="16"/>
  <c r="K114" i="37" s="1"/>
  <c r="M30" i="16"/>
  <c r="L113" i="37" s="1"/>
  <c r="L5" i="16"/>
  <c r="K88" i="37" s="1"/>
  <c r="M5" i="16"/>
  <c r="L88" i="37" s="1"/>
  <c r="M4" i="16"/>
  <c r="L87" i="37" s="1"/>
  <c r="M43" i="15"/>
  <c r="L84" i="37" s="1"/>
  <c r="L43" i="15"/>
  <c r="K84" i="37" s="1"/>
  <c r="M41" i="15"/>
  <c r="L82" i="37" s="1"/>
  <c r="L41" i="15"/>
  <c r="K82" i="37" s="1"/>
  <c r="M39" i="15"/>
  <c r="L80" i="37" s="1"/>
  <c r="L39" i="15"/>
  <c r="K80" i="37" s="1"/>
  <c r="K78" i="37"/>
  <c r="L78" i="37"/>
  <c r="L77" i="37"/>
  <c r="L34" i="15"/>
  <c r="K75" i="37" s="1"/>
  <c r="M34" i="15"/>
  <c r="L75" i="37" s="1"/>
  <c r="M23" i="15"/>
  <c r="L64" i="37" s="1"/>
  <c r="L61" i="37"/>
  <c r="L62" i="37"/>
  <c r="K62" i="37"/>
  <c r="K61" i="37"/>
  <c r="K60" i="37"/>
  <c r="L60" i="37"/>
  <c r="L59" i="37"/>
  <c r="K59" i="37"/>
  <c r="L58" i="37"/>
  <c r="K58" i="37"/>
  <c r="K52" i="37"/>
  <c r="L52" i="37"/>
  <c r="E17" i="10"/>
  <c r="J24" i="14"/>
  <c r="L24" i="37" l="1"/>
  <c r="H24" i="37"/>
  <c r="I24" i="37"/>
  <c r="J24" i="37"/>
  <c r="K24" i="37"/>
  <c r="N36" i="15"/>
  <c r="M77" i="37" s="1"/>
  <c r="K77" i="37"/>
  <c r="N37" i="15"/>
  <c r="M78" i="37" s="1"/>
  <c r="I11" i="17"/>
  <c r="H244" i="37" s="1"/>
  <c r="I153" i="16"/>
  <c r="H236" i="37" s="1"/>
  <c r="I152" i="16"/>
  <c r="H235" i="37" s="1"/>
  <c r="I144" i="16"/>
  <c r="H227" i="37" s="1"/>
  <c r="I151" i="16"/>
  <c r="H234" i="37" s="1"/>
  <c r="J144" i="16"/>
  <c r="I227" i="37" s="1"/>
  <c r="J136" i="16"/>
  <c r="I219" i="37" s="1"/>
  <c r="I136" i="16"/>
  <c r="H219" i="37" s="1"/>
  <c r="J135" i="16"/>
  <c r="I218" i="37" s="1"/>
  <c r="I135" i="16"/>
  <c r="H218" i="37" s="1"/>
  <c r="J134" i="16"/>
  <c r="I217" i="37" s="1"/>
  <c r="I134" i="16"/>
  <c r="H217" i="37" s="1"/>
  <c r="I121" i="16"/>
  <c r="H204" i="37" s="1"/>
  <c r="I104" i="16"/>
  <c r="H187" i="37" s="1"/>
  <c r="E40" i="18"/>
  <c r="E38" i="18"/>
  <c r="E36" i="18"/>
  <c r="E31" i="18"/>
  <c r="E29" i="18"/>
  <c r="K11" i="17"/>
  <c r="J244" i="37" s="1"/>
  <c r="J11" i="17"/>
  <c r="I244" i="37" s="1"/>
  <c r="N11" i="17"/>
  <c r="M244" i="37" s="1"/>
  <c r="K5" i="17"/>
  <c r="J238" i="37" s="1"/>
  <c r="J5" i="17"/>
  <c r="I238" i="37" s="1"/>
  <c r="N5" i="17"/>
  <c r="M238" i="37" s="1"/>
  <c r="J153" i="16"/>
  <c r="I236" i="37" s="1"/>
  <c r="N153" i="16"/>
  <c r="M236" i="37" s="1"/>
  <c r="J152" i="16"/>
  <c r="I235" i="37" s="1"/>
  <c r="N152" i="16"/>
  <c r="M235" i="37" s="1"/>
  <c r="N151" i="16"/>
  <c r="M234" i="37" s="1"/>
  <c r="K144" i="16"/>
  <c r="J227" i="37" s="1"/>
  <c r="N144" i="16"/>
  <c r="M227" i="37" s="1"/>
  <c r="N136" i="16"/>
  <c r="M219" i="37" s="1"/>
  <c r="K136" i="16"/>
  <c r="J219" i="37" s="1"/>
  <c r="N135" i="16"/>
  <c r="M218" i="37" s="1"/>
  <c r="K134" i="16"/>
  <c r="J217" i="37" s="1"/>
  <c r="N134" i="16"/>
  <c r="M217" i="37" s="1"/>
  <c r="N129" i="16"/>
  <c r="M212" i="37" s="1"/>
  <c r="J121" i="16"/>
  <c r="I204" i="37" s="1"/>
  <c r="N121" i="16"/>
  <c r="M204" i="37" s="1"/>
  <c r="J104" i="16"/>
  <c r="I187" i="37" s="1"/>
  <c r="N104" i="16"/>
  <c r="M187" i="37" s="1"/>
  <c r="J51" i="16"/>
  <c r="I134" i="37" s="1"/>
  <c r="I51" i="16"/>
  <c r="H134" i="37" s="1"/>
  <c r="N51" i="16"/>
  <c r="M134" i="37" s="1"/>
  <c r="I32" i="16"/>
  <c r="H115" i="37" s="1"/>
  <c r="N32" i="16"/>
  <c r="M115" i="37" s="1"/>
  <c r="J32" i="16"/>
  <c r="I115" i="37" s="1"/>
  <c r="J31" i="16"/>
  <c r="I114" i="37" s="1"/>
  <c r="I31" i="16"/>
  <c r="H114" i="37" s="1"/>
  <c r="N31" i="16"/>
  <c r="M114" i="37" s="1"/>
  <c r="J6" i="16"/>
  <c r="I89" i="37" s="1"/>
  <c r="N12" i="16"/>
  <c r="M95" i="37" s="1"/>
  <c r="J12" i="16"/>
  <c r="I95" i="37" s="1"/>
  <c r="N30" i="16"/>
  <c r="M113" i="37" s="1"/>
  <c r="J30" i="16"/>
  <c r="I113" i="37" s="1"/>
  <c r="I30" i="16"/>
  <c r="H113" i="37" s="1"/>
  <c r="K6" i="16"/>
  <c r="J89" i="37" s="1"/>
  <c r="N6" i="16"/>
  <c r="M89" i="37" s="1"/>
  <c r="K5" i="16"/>
  <c r="J88" i="37" s="1"/>
  <c r="J5" i="16"/>
  <c r="I88" i="37" s="1"/>
  <c r="I5" i="16"/>
  <c r="H88" i="37" s="1"/>
  <c r="N5" i="16"/>
  <c r="M88" i="37" s="1"/>
  <c r="K4" i="16"/>
  <c r="J87" i="37" s="1"/>
  <c r="J4" i="16"/>
  <c r="I87" i="37" s="1"/>
  <c r="N4" i="16"/>
  <c r="M87" i="37" s="1"/>
  <c r="J43" i="15"/>
  <c r="I84" i="37" s="1"/>
  <c r="I43" i="15"/>
  <c r="H84" i="37" s="1"/>
  <c r="N43" i="15"/>
  <c r="M84" i="37" s="1"/>
  <c r="K41" i="15"/>
  <c r="J82" i="37" s="1"/>
  <c r="J41" i="15"/>
  <c r="I82" i="37" s="1"/>
  <c r="I41" i="15"/>
  <c r="H82" i="37" s="1"/>
  <c r="N41" i="15"/>
  <c r="M82" i="37" s="1"/>
  <c r="J39" i="15"/>
  <c r="I80" i="37" s="1"/>
  <c r="I39" i="15"/>
  <c r="H80" i="37" s="1"/>
  <c r="N39" i="15"/>
  <c r="M80" i="37" s="1"/>
  <c r="I34" i="15"/>
  <c r="H75" i="37" s="1"/>
  <c r="J34" i="15"/>
  <c r="I75" i="37" s="1"/>
  <c r="N34" i="15"/>
  <c r="M75" i="37" s="1"/>
  <c r="J23" i="15"/>
  <c r="I64" i="37" s="1"/>
  <c r="I23" i="15"/>
  <c r="H64" i="37" s="1"/>
  <c r="N23" i="15"/>
  <c r="M64" i="37" s="1"/>
  <c r="I21" i="15"/>
  <c r="H62" i="37" s="1"/>
  <c r="N21" i="15"/>
  <c r="M62" i="37" s="1"/>
  <c r="J21" i="15"/>
  <c r="I62" i="37" s="1"/>
  <c r="J20" i="15"/>
  <c r="I61" i="37" s="1"/>
  <c r="I20" i="15"/>
  <c r="H61" i="37" s="1"/>
  <c r="N20" i="15"/>
  <c r="M61" i="37" s="1"/>
  <c r="J19" i="15"/>
  <c r="I60" i="37" s="1"/>
  <c r="I19" i="15"/>
  <c r="H60" i="37" s="1"/>
  <c r="N19" i="15"/>
  <c r="M60" i="37" s="1"/>
  <c r="J18" i="15"/>
  <c r="I59" i="37" s="1"/>
  <c r="I18" i="15"/>
  <c r="H59" i="37" s="1"/>
  <c r="N18" i="15"/>
  <c r="M59" i="37" s="1"/>
  <c r="K17" i="15"/>
  <c r="J58" i="37" s="1"/>
  <c r="J17" i="15"/>
  <c r="I58" i="37" s="1"/>
  <c r="I17" i="15"/>
  <c r="H58" i="37" s="1"/>
  <c r="N17" i="15"/>
  <c r="M58" i="37" s="1"/>
  <c r="N12" i="15"/>
  <c r="M53" i="37" s="1"/>
  <c r="N11" i="15"/>
  <c r="M52" i="37" s="1"/>
  <c r="K12" i="15"/>
  <c r="J53" i="37" s="1"/>
  <c r="J12" i="15"/>
  <c r="I53" i="37" s="1"/>
  <c r="I12" i="15"/>
  <c r="H53" i="37" s="1"/>
  <c r="K11" i="15"/>
  <c r="J52" i="37" s="1"/>
  <c r="J11" i="15"/>
  <c r="I52" i="37" s="1"/>
  <c r="I11" i="15"/>
  <c r="H52" i="37" s="1"/>
  <c r="M44" i="14"/>
  <c r="I44" i="14"/>
  <c r="J42" i="14"/>
  <c r="I42" i="14"/>
  <c r="M42" i="14"/>
  <c r="H42" i="14"/>
  <c r="H37" i="14"/>
  <c r="I37" i="14"/>
  <c r="J37" i="14"/>
  <c r="M37" i="14"/>
  <c r="M32" i="14"/>
  <c r="J32" i="14"/>
  <c r="J30" i="14"/>
  <c r="I32" i="14"/>
  <c r="H30" i="14"/>
  <c r="I30" i="14"/>
  <c r="M25" i="14"/>
  <c r="M26" i="14"/>
  <c r="M27" i="14"/>
  <c r="M28" i="14"/>
  <c r="M24" i="14"/>
  <c r="M30" i="14"/>
  <c r="J25" i="14"/>
  <c r="J26" i="14"/>
  <c r="J27" i="14"/>
  <c r="J28" i="14"/>
  <c r="I21" i="14"/>
  <c r="J21" i="14"/>
  <c r="M21" i="14"/>
  <c r="M20" i="14"/>
  <c r="J20" i="14"/>
  <c r="M18" i="14"/>
  <c r="J18" i="14"/>
  <c r="I18" i="14"/>
  <c r="M7" i="14"/>
  <c r="M24" i="37" l="1"/>
  <c r="H87" i="37"/>
  <c r="I234" i="37"/>
  <c r="H89" i="37"/>
  <c r="J77" i="37"/>
  <c r="J36" i="15"/>
  <c r="B3" i="36" s="1" a="1"/>
  <c r="B3" i="36" l="1"/>
  <c r="D3" i="36" s="1"/>
  <c r="F42" i="36"/>
  <c r="J42" i="36" s="1"/>
  <c r="F43" i="36"/>
  <c r="J43" i="36" s="1"/>
  <c r="F44" i="36"/>
  <c r="J44" i="36" s="1"/>
  <c r="F45" i="36"/>
  <c r="J45" i="36" s="1"/>
  <c r="F46" i="36"/>
  <c r="J46" i="36" s="1"/>
  <c r="K46" i="36" s="1"/>
  <c r="D42" i="36"/>
  <c r="D43" i="36"/>
  <c r="D44" i="36"/>
  <c r="D45" i="36"/>
  <c r="D46" i="36"/>
  <c r="I77" i="37"/>
  <c r="F36" i="36"/>
  <c r="J36" i="36" s="1"/>
  <c r="F37" i="36"/>
  <c r="J37" i="36" s="1"/>
  <c r="F38" i="36"/>
  <c r="J38" i="36" s="1"/>
  <c r="F39" i="36"/>
  <c r="J39" i="36" s="1"/>
  <c r="F40" i="36"/>
  <c r="J40" i="36" s="1"/>
  <c r="F41" i="36"/>
  <c r="J41" i="36" s="1"/>
  <c r="D36" i="36"/>
  <c r="D37" i="36"/>
  <c r="D38" i="36"/>
  <c r="D39" i="36"/>
  <c r="D40" i="36"/>
  <c r="D41" i="36"/>
  <c r="E41" i="36"/>
  <c r="I41" i="36"/>
  <c r="D34" i="36"/>
  <c r="F34" i="36"/>
  <c r="J34" i="36" s="1"/>
  <c r="D35" i="36"/>
  <c r="F35" i="36"/>
  <c r="J35" i="36" s="1"/>
  <c r="F31" i="36"/>
  <c r="J31" i="36" s="1"/>
  <c r="F32" i="36"/>
  <c r="J32" i="36" s="1"/>
  <c r="F33" i="36"/>
  <c r="J33" i="36" s="1"/>
  <c r="D31" i="36"/>
  <c r="D32" i="36"/>
  <c r="D33" i="36"/>
  <c r="F26" i="36"/>
  <c r="J26" i="36" s="1"/>
  <c r="F27" i="36"/>
  <c r="J27" i="36" s="1"/>
  <c r="F28" i="36"/>
  <c r="J28" i="36" s="1"/>
  <c r="F29" i="36"/>
  <c r="J29" i="36" s="1"/>
  <c r="F30" i="36"/>
  <c r="J30" i="36" s="1"/>
  <c r="D26" i="36"/>
  <c r="D27" i="36"/>
  <c r="D28" i="36"/>
  <c r="D29" i="36"/>
  <c r="D30" i="36"/>
  <c r="F24" i="36"/>
  <c r="J24" i="36" s="1"/>
  <c r="F25" i="36"/>
  <c r="J25" i="36" s="1"/>
  <c r="D24" i="36"/>
  <c r="D25" i="36"/>
  <c r="D23" i="36"/>
  <c r="F23" i="36"/>
  <c r="J23" i="36" s="1"/>
  <c r="D22" i="36"/>
  <c r="F22" i="36"/>
  <c r="J22" i="36" s="1"/>
  <c r="F21" i="36"/>
  <c r="J21" i="36" s="1"/>
  <c r="D19" i="36"/>
  <c r="D20" i="36"/>
  <c r="D21" i="36"/>
  <c r="F19" i="36"/>
  <c r="J19" i="36" s="1"/>
  <c r="F20" i="36"/>
  <c r="J20" i="36" s="1"/>
  <c r="F13" i="36"/>
  <c r="J13" i="36" s="1"/>
  <c r="F14" i="36"/>
  <c r="J14" i="36" s="1"/>
  <c r="F15" i="36"/>
  <c r="J15" i="36" s="1"/>
  <c r="F16" i="36"/>
  <c r="J16" i="36" s="1"/>
  <c r="F17" i="36"/>
  <c r="J17" i="36" s="1"/>
  <c r="F18" i="36"/>
  <c r="J18" i="36" s="1"/>
  <c r="D11" i="36"/>
  <c r="D12" i="36"/>
  <c r="D13" i="36"/>
  <c r="D14" i="36"/>
  <c r="D15" i="36"/>
  <c r="D16" i="36"/>
  <c r="D17" i="36"/>
  <c r="D18" i="36"/>
  <c r="D10" i="36"/>
  <c r="I36" i="36" l="1"/>
  <c r="E36" i="36"/>
  <c r="I37" i="36"/>
  <c r="E37" i="36"/>
  <c r="I38" i="36"/>
  <c r="E38" i="36"/>
  <c r="I39" i="36"/>
  <c r="E39" i="36"/>
  <c r="I40" i="36"/>
  <c r="E40" i="36"/>
  <c r="M18" i="36"/>
  <c r="K18" i="36"/>
  <c r="M17" i="36"/>
  <c r="K17" i="36"/>
  <c r="M16" i="36"/>
  <c r="K16" i="36"/>
  <c r="M15" i="36"/>
  <c r="K15" i="36"/>
  <c r="M14" i="36"/>
  <c r="K14" i="36"/>
  <c r="M13" i="36"/>
  <c r="K13" i="36"/>
  <c r="M20" i="36"/>
  <c r="K20" i="36"/>
  <c r="M19" i="36"/>
  <c r="K19" i="36"/>
  <c r="M21" i="36"/>
  <c r="K21" i="36"/>
  <c r="M22" i="36"/>
  <c r="K22" i="36"/>
  <c r="M23" i="36"/>
  <c r="K23" i="36"/>
  <c r="M25" i="36"/>
  <c r="K25" i="36"/>
  <c r="M24" i="36"/>
  <c r="K24" i="36"/>
  <c r="M30" i="36"/>
  <c r="K30" i="36"/>
  <c r="M29" i="36"/>
  <c r="K29" i="36"/>
  <c r="M28" i="36"/>
  <c r="K28" i="36"/>
  <c r="M27" i="36"/>
  <c r="K27" i="36"/>
  <c r="M26" i="36"/>
  <c r="K26" i="36"/>
  <c r="M33" i="36"/>
  <c r="K33" i="36"/>
  <c r="M32" i="36"/>
  <c r="K32" i="36"/>
  <c r="M31" i="36"/>
  <c r="K31" i="36"/>
  <c r="M35" i="36"/>
  <c r="K35" i="36"/>
  <c r="M34" i="36"/>
  <c r="K34" i="36"/>
  <c r="M41" i="36"/>
  <c r="K41" i="36"/>
  <c r="M40" i="36"/>
  <c r="K40" i="36"/>
  <c r="M39" i="36"/>
  <c r="K39" i="36"/>
  <c r="M38" i="36"/>
  <c r="K38" i="36"/>
  <c r="M37" i="36"/>
  <c r="K37" i="36"/>
  <c r="M36" i="36"/>
  <c r="K36" i="36"/>
  <c r="G46" i="36"/>
  <c r="H46" i="36"/>
  <c r="I46" i="36"/>
  <c r="L46" i="36"/>
  <c r="M46" i="36"/>
  <c r="E46" i="36"/>
  <c r="G45" i="36"/>
  <c r="H45" i="36"/>
  <c r="I45" i="36"/>
  <c r="L45" i="36"/>
  <c r="M45" i="36"/>
  <c r="E45" i="36"/>
  <c r="K45" i="36"/>
  <c r="G44" i="36"/>
  <c r="H44" i="36"/>
  <c r="I44" i="36"/>
  <c r="L44" i="36"/>
  <c r="M44" i="36"/>
  <c r="E44" i="36"/>
  <c r="K44" i="36"/>
  <c r="G43" i="36"/>
  <c r="H43" i="36"/>
  <c r="I43" i="36"/>
  <c r="L43" i="36"/>
  <c r="M43" i="36"/>
  <c r="E43" i="36"/>
  <c r="K43" i="36"/>
  <c r="G42" i="36"/>
  <c r="H42" i="36"/>
  <c r="I42" i="36"/>
  <c r="L42" i="36"/>
  <c r="M42" i="36"/>
  <c r="E42" i="36"/>
  <c r="K42" i="36"/>
  <c r="F9" i="36"/>
  <c r="F5" i="36"/>
  <c r="F4" i="36"/>
  <c r="F6" i="36"/>
  <c r="F7" i="36"/>
  <c r="F8" i="36"/>
  <c r="F10" i="36"/>
  <c r="F11" i="36"/>
  <c r="F12" i="36"/>
  <c r="L18" i="36"/>
  <c r="H18" i="36"/>
  <c r="G18" i="36"/>
  <c r="L17" i="36"/>
  <c r="H17" i="36"/>
  <c r="G17" i="36"/>
  <c r="L16" i="36"/>
  <c r="H16" i="36"/>
  <c r="G16" i="36"/>
  <c r="L15" i="36"/>
  <c r="H15" i="36"/>
  <c r="G15" i="36"/>
  <c r="L14" i="36"/>
  <c r="H14" i="36"/>
  <c r="G14" i="36"/>
  <c r="L13" i="36"/>
  <c r="H13" i="36"/>
  <c r="G13" i="36"/>
  <c r="L20" i="36"/>
  <c r="H20" i="36"/>
  <c r="G20" i="36"/>
  <c r="L19" i="36"/>
  <c r="H19" i="36"/>
  <c r="G19" i="36"/>
  <c r="L21" i="36"/>
  <c r="H21" i="36"/>
  <c r="G21" i="36"/>
  <c r="L22" i="36"/>
  <c r="H22" i="36"/>
  <c r="G22" i="36"/>
  <c r="L23" i="36"/>
  <c r="H23" i="36"/>
  <c r="G23" i="36"/>
  <c r="L25" i="36"/>
  <c r="H25" i="36"/>
  <c r="G25" i="36"/>
  <c r="L24" i="36"/>
  <c r="H24" i="36"/>
  <c r="G24" i="36"/>
  <c r="L30" i="36"/>
  <c r="H30" i="36"/>
  <c r="G30" i="36"/>
  <c r="L29" i="36"/>
  <c r="H29" i="36"/>
  <c r="G29" i="36"/>
  <c r="L28" i="36"/>
  <c r="H28" i="36"/>
  <c r="G28" i="36"/>
  <c r="L27" i="36"/>
  <c r="H27" i="36"/>
  <c r="G27" i="36"/>
  <c r="L26" i="36"/>
  <c r="H26" i="36"/>
  <c r="G26" i="36"/>
  <c r="L33" i="36"/>
  <c r="H33" i="36"/>
  <c r="G33" i="36"/>
  <c r="L32" i="36"/>
  <c r="H32" i="36"/>
  <c r="G32" i="36"/>
  <c r="L31" i="36"/>
  <c r="H31" i="36"/>
  <c r="G31" i="36"/>
  <c r="L35" i="36"/>
  <c r="H35" i="36"/>
  <c r="G35" i="36"/>
  <c r="L34" i="36"/>
  <c r="H34" i="36"/>
  <c r="G34" i="36"/>
  <c r="L41" i="36"/>
  <c r="H41" i="36"/>
  <c r="G41" i="36"/>
  <c r="L40" i="36"/>
  <c r="H40" i="36"/>
  <c r="G40" i="36"/>
  <c r="L39" i="36"/>
  <c r="H39" i="36"/>
  <c r="G39" i="36"/>
  <c r="L38" i="36"/>
  <c r="H38" i="36"/>
  <c r="G38" i="36"/>
  <c r="L37" i="36"/>
  <c r="H37" i="36"/>
  <c r="G37" i="36"/>
  <c r="L36" i="36"/>
  <c r="H36" i="36"/>
  <c r="G36" i="36"/>
  <c r="I18" i="36"/>
  <c r="E18" i="36"/>
  <c r="I17" i="36"/>
  <c r="E17" i="36"/>
  <c r="I16" i="36"/>
  <c r="E16" i="36"/>
  <c r="I15" i="36"/>
  <c r="E15" i="36"/>
  <c r="I14" i="36"/>
  <c r="E14" i="36"/>
  <c r="I13" i="36"/>
  <c r="E13" i="36"/>
  <c r="I20" i="36"/>
  <c r="E20" i="36"/>
  <c r="I19" i="36"/>
  <c r="E19" i="36"/>
  <c r="I21" i="36"/>
  <c r="E21" i="36"/>
  <c r="I22" i="36"/>
  <c r="E22" i="36"/>
  <c r="I23" i="36"/>
  <c r="E23" i="36"/>
  <c r="I25" i="36"/>
  <c r="E25" i="36"/>
  <c r="I24" i="36"/>
  <c r="E24" i="36"/>
  <c r="I30" i="36"/>
  <c r="E30" i="36"/>
  <c r="I29" i="36"/>
  <c r="E29" i="36"/>
  <c r="I28" i="36"/>
  <c r="E28" i="36"/>
  <c r="I27" i="36"/>
  <c r="E27" i="36"/>
  <c r="I26" i="36"/>
  <c r="E26" i="36"/>
  <c r="I33" i="36"/>
  <c r="E33" i="36"/>
  <c r="I32" i="36"/>
  <c r="E32" i="36"/>
  <c r="I31" i="36"/>
  <c r="E31" i="36"/>
  <c r="I35" i="36"/>
  <c r="E35" i="36"/>
  <c r="I34" i="36"/>
  <c r="E34" i="36"/>
  <c r="F3" i="36"/>
  <c r="K3" i="36" s="1"/>
  <c r="J12" i="36" l="1"/>
  <c r="K12" i="36" s="1"/>
  <c r="J11" i="36"/>
  <c r="K11" i="36" s="1"/>
  <c r="J10" i="36"/>
  <c r="K10" i="36" s="1"/>
  <c r="J8" i="36"/>
  <c r="K8" i="36" s="1"/>
  <c r="J7" i="36"/>
  <c r="K7" i="36" s="1"/>
  <c r="J6" i="36"/>
  <c r="K6" i="36" s="1"/>
  <c r="J4" i="36"/>
  <c r="K4" i="36" s="1"/>
  <c r="J5" i="36"/>
  <c r="K5" i="36" s="1"/>
  <c r="J9" i="36"/>
  <c r="K9" i="36" s="1"/>
  <c r="M12" i="36"/>
  <c r="L12" i="36"/>
  <c r="H12" i="36"/>
  <c r="G12" i="36"/>
  <c r="I12" i="36"/>
  <c r="E12" i="36"/>
  <c r="M11" i="36"/>
  <c r="L11" i="36"/>
  <c r="H11" i="36"/>
  <c r="G11" i="36"/>
  <c r="I11" i="36"/>
  <c r="E11" i="36"/>
  <c r="M10" i="36"/>
  <c r="I10" i="36"/>
  <c r="E10" i="36"/>
  <c r="L10" i="36"/>
  <c r="H10" i="36"/>
  <c r="G10" i="36"/>
  <c r="M8" i="36"/>
  <c r="L8" i="36"/>
  <c r="H8" i="36"/>
  <c r="G8" i="36"/>
  <c r="I8" i="36"/>
  <c r="E8" i="36"/>
  <c r="M7" i="36"/>
  <c r="L7" i="36"/>
  <c r="H7" i="36"/>
  <c r="G7" i="36"/>
  <c r="I7" i="36"/>
  <c r="E7" i="36"/>
  <c r="M6" i="36"/>
  <c r="L6" i="36"/>
  <c r="H6" i="36"/>
  <c r="G6" i="36"/>
  <c r="I6" i="36"/>
  <c r="E6" i="36"/>
  <c r="M4" i="36"/>
  <c r="E4" i="36"/>
  <c r="L4" i="36"/>
  <c r="H4" i="36"/>
  <c r="G4" i="36"/>
  <c r="I4" i="36"/>
  <c r="M5" i="36"/>
  <c r="L5" i="36"/>
  <c r="H5" i="36"/>
  <c r="G5" i="36"/>
  <c r="I5" i="36"/>
  <c r="E5" i="36"/>
  <c r="M9" i="36"/>
  <c r="L9" i="36"/>
  <c r="H9" i="36"/>
  <c r="G9" i="36"/>
  <c r="I9" i="36"/>
  <c r="E9" i="36"/>
  <c r="M3" i="36"/>
  <c r="E3" i="36"/>
  <c r="L3" i="36"/>
  <c r="H3" i="36"/>
  <c r="G3" i="36"/>
  <c r="I3" i="3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<sst xmlns="http://schemas.openxmlformats.org/spreadsheetml/2006/main" count="1165" uniqueCount="522">
  <si>
    <t>[Insert logo]</t>
  </si>
  <si>
    <r>
      <t xml:space="preserve">Privacy Impact Assessment Report
</t>
    </r>
    <r>
      <rPr>
        <sz val="10"/>
        <color rgb="FF000000"/>
        <rFont val="Arial"/>
        <family val="2"/>
      </rPr>
      <t>In compliance with the Data Privacy Act of 2012</t>
    </r>
  </si>
  <si>
    <t>Document Code:</t>
  </si>
  <si>
    <t>Effective Date:</t>
  </si>
  <si>
    <t>Review Date:</t>
  </si>
  <si>
    <t>Version Control No.:</t>
  </si>
  <si>
    <t xml:space="preserve">Project-System Description </t>
  </si>
  <si>
    <t>Description</t>
  </si>
  <si>
    <t>The system is a</t>
  </si>
  <si>
    <t>designed to manage</t>
  </si>
  <si>
    <t>of personal data within</t>
  </si>
  <si>
    <t>Key Processes include:</t>
  </si>
  <si>
    <t>Data Collection</t>
  </si>
  <si>
    <t xml:space="preserve">Gathering data through </t>
  </si>
  <si>
    <t>Data Usage</t>
  </si>
  <si>
    <t xml:space="preserve">Using data for </t>
  </si>
  <si>
    <t xml:space="preserve">Data Storage </t>
  </si>
  <si>
    <t xml:space="preserve">Secure storage in </t>
  </si>
  <si>
    <t xml:space="preserve">Data Disposal </t>
  </si>
  <si>
    <t xml:space="preserve">Secure disposal in line with </t>
  </si>
  <si>
    <t>If applicable:</t>
  </si>
  <si>
    <t xml:space="preserve">The system integrates with existing programs such as </t>
  </si>
  <si>
    <t>Supported by documents like the Requirements and Design Specifications</t>
  </si>
  <si>
    <t>Purpose</t>
  </si>
  <si>
    <t xml:space="preserve">The system aims to </t>
  </si>
  <si>
    <t>Scope of the PIA</t>
  </si>
  <si>
    <t>This Privacy Impact Assessment (PIA) reviews privacy risks in the</t>
  </si>
  <si>
    <t xml:space="preserve">related to the </t>
  </si>
  <si>
    <t>of personal data.</t>
  </si>
  <si>
    <t xml:space="preserve">It examines the data types, legal basis, security, </t>
  </si>
  <si>
    <t>This PIA does not cover non-data protection issues or activities that do not involve personal data.</t>
  </si>
  <si>
    <t>Threshold Analysis</t>
  </si>
  <si>
    <t>No.</t>
  </si>
  <si>
    <t>Question</t>
  </si>
  <si>
    <t>Yes/No</t>
  </si>
  <si>
    <t>Response</t>
  </si>
  <si>
    <t>Does the project or system collect, use, keep, share, or dispose of personal information?</t>
  </si>
  <si>
    <t>Does the project or system collect, use, keep, share, or dispose of sensitive personal information or privileged information?</t>
  </si>
  <si>
    <t>Is processing regular and not just a one-time thing?  </t>
  </si>
  <si>
    <t xml:space="preserve">Does the project or system include information about vulnerable individuals? </t>
  </si>
  <si>
    <t xml:space="preserve">Does the processing involve records of 250 or more individuals? </t>
  </si>
  <si>
    <t xml:space="preserve">Does the processing use off-the-shelf software? </t>
  </si>
  <si>
    <t xml:space="preserve">Are you using individuals’ information for a purpose other than originally intended? </t>
  </si>
  <si>
    <t xml:space="preserve">Will individuals’ information be used for marketing, online services, systematic monitoring, tracking or observing their location or behavior? </t>
  </si>
  <si>
    <t>Will individuals’ information be shared with organizations or people who have not previously had regular access to it?</t>
  </si>
  <si>
    <t>Does the project or system use new technology that may be seen as privacy-intrusive?</t>
  </si>
  <si>
    <t xml:space="preserve">Will the processing use automated decision making, AI or profiling with legal or similar significant effect? </t>
  </si>
  <si>
    <t xml:space="preserve">Will the processing prevent individuals from exercising a right or using a service or a contract? </t>
  </si>
  <si>
    <t>IS PIA REQUIRED?</t>
  </si>
  <si>
    <t>Stakeholder(s) Engagement</t>
  </si>
  <si>
    <t>Name/Position</t>
  </si>
  <si>
    <t>Role</t>
  </si>
  <si>
    <t>Involvement</t>
  </si>
  <si>
    <t>Inputs/ Recommendations</t>
  </si>
  <si>
    <t>Data Processing  System Details</t>
  </si>
  <si>
    <t>Is DPS Manual, Electronic, or Both?</t>
  </si>
  <si>
    <t>Data Processing System Name</t>
  </si>
  <si>
    <t>Basis for Processing Personal Information</t>
  </si>
  <si>
    <t>Basis for Processing Sensitive Personal Information (If applicable)</t>
  </si>
  <si>
    <t>Purpose of Processing</t>
  </si>
  <si>
    <t>Intended Future Purpose (if any)</t>
  </si>
  <si>
    <t>Description of the category or categories of data subject</t>
  </si>
  <si>
    <t>Type of Personal Data</t>
  </si>
  <si>
    <t>Categories of Personal Data</t>
  </si>
  <si>
    <t>Amount of personal data (estimate)</t>
  </si>
  <si>
    <t>PIP/PIC</t>
  </si>
  <si>
    <t>Personal Information</t>
  </si>
  <si>
    <t>Sensitive Personal Information</t>
  </si>
  <si>
    <t>Privileged Information</t>
  </si>
  <si>
    <t>Is processing done as PIC or PIP?</t>
  </si>
  <si>
    <t>Is the system outsourced or subcontracted?</t>
  </si>
  <si>
    <t>Name of PIP</t>
  </si>
  <si>
    <t>Email Address</t>
  </si>
  <si>
    <t>Contact No.</t>
  </si>
  <si>
    <t>Name of PIC</t>
  </si>
  <si>
    <t>Name of DPO</t>
  </si>
  <si>
    <t>Is the system a publicly facing online mobile or web-based application?</t>
  </si>
  <si>
    <t>Is the system External and/or Internal facing?</t>
  </si>
  <si>
    <t>Is there any notification regarding any automated decision-making operation and/or profiling?</t>
  </si>
  <si>
    <t>Lawful basis of processing personal data</t>
  </si>
  <si>
    <t>Other relevant information pertaining to the specified lawful basis</t>
  </si>
  <si>
    <t>Is consent used as the basis for processing?</t>
  </si>
  <si>
    <t>Consent form or any other proof of obtaining consent? (Specify below)</t>
  </si>
  <si>
    <t>Retention period for the data processed</t>
  </si>
  <si>
    <t>Methods and logic utilized for automated processing</t>
  </si>
  <si>
    <t>Possible decisions relating to the data subject based on the processed data, particularly if they would significantly affect his or her rights and freedoms</t>
  </si>
  <si>
    <t>Description of Security Measures</t>
  </si>
  <si>
    <t xml:space="preserve">Organizational </t>
  </si>
  <si>
    <t>Physical</t>
  </si>
  <si>
    <t>Technical</t>
  </si>
  <si>
    <t>General Information of the Data Life Cycle</t>
  </si>
  <si>
    <t>Collection</t>
  </si>
  <si>
    <t>When is the personal data collected?</t>
  </si>
  <si>
    <t>Who collects the personal data?</t>
  </si>
  <si>
    <t>From whom is the personal data collected?</t>
  </si>
  <si>
    <t>Use</t>
  </si>
  <si>
    <t>Position &amp; Department</t>
  </si>
  <si>
    <t>Scope/Module</t>
  </si>
  <si>
    <t>File Name</t>
  </si>
  <si>
    <t>Disclosure</t>
  </si>
  <si>
    <t>Category of recipients to whom the data might be disclosed</t>
  </si>
  <si>
    <t>Recipients</t>
  </si>
  <si>
    <t>Data Sharing Purpose</t>
  </si>
  <si>
    <t>Is there any Data Sharing Agreements with other parties?</t>
  </si>
  <si>
    <t>Is the personal data transferred outside of the Philippines?</t>
  </si>
  <si>
    <t>Internal</t>
  </si>
  <si>
    <t>N/A</t>
  </si>
  <si>
    <t>External</t>
  </si>
  <si>
    <t>Retention and Disposal</t>
  </si>
  <si>
    <t xml:space="preserve">List of all information repositories holding personal data	</t>
  </si>
  <si>
    <t xml:space="preserve">Type of Media </t>
  </si>
  <si>
    <t>Location of the repositories</t>
  </si>
  <si>
    <t>City, Country</t>
  </si>
  <si>
    <t>Retention Period with Reckoning date/time</t>
  </si>
  <si>
    <t>Basis for Retention</t>
  </si>
  <si>
    <t xml:space="preserve">Disposal/Destruction/Deletion Procedure	</t>
  </si>
  <si>
    <t>Note: The default risk rating is based on inherent risk, calculated using data subject impact and likelihood. This rating is not final and may change based on your assessment as the process or system owner. To request a change, consult your Data Protection Officer (DPO). If approved, the rating can be updated.</t>
  </si>
  <si>
    <t>Transparency</t>
  </si>
  <si>
    <t>Questions</t>
  </si>
  <si>
    <t>Yes/No/
N/A</t>
  </si>
  <si>
    <t xml:space="preserve">Threats/Vulnerabilities </t>
  </si>
  <si>
    <t>Risk</t>
  </si>
  <si>
    <t>Legal Basis</t>
  </si>
  <si>
    <t>Impact</t>
  </si>
  <si>
    <t>Probability</t>
  </si>
  <si>
    <t>Risk Rating</t>
  </si>
  <si>
    <t>1. Are data subjects informed of the following details before or shortly after their personal data is collected (Privacy Notice)? Check all present</t>
  </si>
  <si>
    <t>a. Description of the personal data to be processed</t>
  </si>
  <si>
    <t>b. Purposes of processing, including direct marketing, profiling or historical, statistical or scientific purpose if applicable</t>
  </si>
  <si>
    <t>c. Basis of processing, when not based on consent</t>
  </si>
  <si>
    <t>d. Scope and method of processing</t>
  </si>
  <si>
    <t>e. Recipients or categories of recipients who may receive the personal data</t>
  </si>
  <si>
    <t>f. Methods used for automated access (cookie notification), if allowed by the data subject, including the extent of the authorization, the logic involved, and the significance and potential consequences of such processing</t>
  </si>
  <si>
    <t xml:space="preserve">Use of complex or technical language in privacy notices makes it difficult for data subjects to understand how their personal data is processed, increasing the risk of uninformed consent (if processing is based on consent) and non-compliance with transparency obligations. </t>
  </si>
  <si>
    <t>g. Risks and safeguards involved in the processing</t>
  </si>
  <si>
    <t>h. Identity and contact details of the PIC (your organization) or its representative (DPO)</t>
  </si>
  <si>
    <t>i. Retention period</t>
  </si>
  <si>
    <t>j. Data subject rights and the process for exercising them</t>
  </si>
  <si>
    <t>Is information and communication about personal data processing easy to access and understand, using clear and plain language (Privacy Notice)?</t>
  </si>
  <si>
    <t>Legitimate Purpose / Lawfulness</t>
  </si>
  <si>
    <t>Is the processing of personal data compatible with a declared and specified purpose which are not contrary to law, morals, or public policy? </t>
  </si>
  <si>
    <t xml:space="preserve">Is the processing based on Section 4 (for special cases), Section 12 (for personal information), or Section 13 (for sensitive and privileged information) of the DPA?  </t>
  </si>
  <si>
    <t>Proportionality / Data minimization</t>
  </si>
  <si>
    <t>Personal Data/Functions</t>
  </si>
  <si>
    <r>
      <t xml:space="preserve">Adequate
</t>
    </r>
    <r>
      <rPr>
        <i/>
        <sz val="11"/>
        <rFont val="Arial"/>
        <family val="2"/>
      </rPr>
      <t>(enough to fulfil the purpose)</t>
    </r>
  </si>
  <si>
    <r>
      <t xml:space="preserve">Relevant &amp; Suitable
</t>
    </r>
    <r>
      <rPr>
        <i/>
        <sz val="11"/>
        <rFont val="Arial"/>
        <family val="2"/>
      </rPr>
      <t>(related &amp; appropriate)</t>
    </r>
  </si>
  <si>
    <t>Necessary</t>
  </si>
  <si>
    <t>Remarks</t>
  </si>
  <si>
    <t>Fairness</t>
  </si>
  <si>
    <t>Is the Privacy Notice / Consent Form presented objectively and neutrally, without deceptive or manipulative language or design?</t>
  </si>
  <si>
    <t xml:space="preserve">Data Quality / Accuracy </t>
  </si>
  <si>
    <t>Is personal data accurate, and kept up to date? Check all present</t>
  </si>
  <si>
    <t xml:space="preserve">a. Verify data at collection </t>
  </si>
  <si>
    <t xml:space="preserve">b. Review and update personal data regularly </t>
  </si>
  <si>
    <t xml:space="preserve">c. Allow users to update their personal data securely </t>
  </si>
  <si>
    <t xml:space="preserve">d. Use reliable sources when updating records </t>
  </si>
  <si>
    <t>Is inaccurate or incomplete data rectified, supplemented, destroyed or their further processing restricted? Check all present</t>
  </si>
  <si>
    <t xml:space="preserve">a. People can request corrections and erasure easily </t>
  </si>
  <si>
    <t xml:space="preserve">b. Data processing restrictions of inaccurate or incomplete data until rectified </t>
  </si>
  <si>
    <t xml:space="preserve">c. Secure disposal methods </t>
  </si>
  <si>
    <t>Purpose limitation</t>
  </si>
  <si>
    <r>
      <t xml:space="preserve">Is personal data collected for specified purpose not further processed in a manner that is incompatible with that purpose? 
</t>
    </r>
    <r>
      <rPr>
        <i/>
        <sz val="11"/>
        <color rgb="FF000000"/>
        <rFont val="Arial"/>
        <family val="2"/>
      </rPr>
      <t>Note: may be further processed for historical, statistical, or scientific purposes, and stored longer as allowed by law, provided appropriate security measures safeguard the data subject’s rights and freedoms.</t>
    </r>
  </si>
  <si>
    <t>Storage Limitation</t>
  </si>
  <si>
    <t>Is personal data retained only for as long as necessary? Check all applicable</t>
  </si>
  <si>
    <t>a. To fulfill the declared, specified, and legitimate purpose</t>
  </si>
  <si>
    <t>b. For the establishment, exercise or defense of legal claims; or</t>
  </si>
  <si>
    <t>c. For legitimate business purposes aligned with industry standards</t>
  </si>
  <si>
    <t>d. Retention is allowed/required by law/appropriate government agency</t>
  </si>
  <si>
    <t>e. Aggregated (statistics, average, total numbers) or anonymized personal data may be kept beyond the necessary period.</t>
  </si>
  <si>
    <r>
      <t>Limitations</t>
    </r>
    <r>
      <rPr>
        <sz val="11"/>
        <color rgb="FF000000"/>
        <rFont val="Arial"/>
        <family val="2"/>
      </rPr>
      <t>. Data subject rights must be exercised reasonably and may be limited for public interest, protecting other rights, or when processing data for: </t>
    </r>
  </si>
  <si>
    <t>Scientific and statistical research </t>
  </si>
  <si>
    <t>Investigation in relation to any criminal, administrative, or tax liabilities of a data subject </t>
  </si>
  <si>
    <t>In the interest of national security, rights of data subjects nay be limited pursuant to laws, rules and regulations, or order of a competent court. </t>
  </si>
  <si>
    <t>Limitations on the exercise of data subject rights may be applied to analogous cases where the PIC has a legitimate purpose justifying such limitation. </t>
  </si>
  <si>
    <r>
      <t>Rights to be informed</t>
    </r>
    <r>
      <rPr>
        <sz val="14"/>
        <color rgb="FF000000"/>
        <rFont val="Arial"/>
        <family val="2"/>
      </rPr>
      <t> </t>
    </r>
    <r>
      <rPr>
        <i/>
        <sz val="14"/>
        <color rgb="FF000000"/>
        <rFont val="Arial"/>
        <family val="2"/>
      </rPr>
      <t>(Included under the Transparency Principle)</t>
    </r>
  </si>
  <si>
    <r>
      <t>Right to object</t>
    </r>
    <r>
      <rPr>
        <i/>
        <sz val="11"/>
        <color rgb="FF000000"/>
        <rFont val="Arial"/>
        <family val="2"/>
      </rPr>
      <t xml:space="preserve"> (Applicable if the processing is based on consent or legitimate interest) </t>
    </r>
  </si>
  <si>
    <t>Yes/No/N/A</t>
  </si>
  <si>
    <r>
      <t>(</t>
    </r>
    <r>
      <rPr>
        <b/>
        <sz val="11"/>
        <color rgb="FF000000"/>
        <rFont val="Arial"/>
        <family val="2"/>
      </rPr>
      <t>For consent</t>
    </r>
    <r>
      <rPr>
        <sz val="11"/>
        <color rgb="FF000000"/>
        <rFont val="Arial"/>
        <family val="2"/>
      </rPr>
      <t>) Do you obtain the data subject’s consent, evidenced by written, electronic, or recorded means, before processing their personal data? </t>
    </r>
  </si>
  <si>
    <r>
      <t>(</t>
    </r>
    <r>
      <rPr>
        <b/>
        <sz val="11"/>
        <color rgb="FF000000"/>
        <rFont val="Arial"/>
        <family val="2"/>
      </rPr>
      <t>For consent</t>
    </r>
    <r>
      <rPr>
        <sz val="11"/>
        <color rgb="FF000000"/>
        <rFont val="Arial"/>
        <family val="2"/>
      </rPr>
      <t>) Before obtaining consent, do you provide the following information clearly and concisely in the consent form or Privacy Notice? Check all present</t>
    </r>
  </si>
  <si>
    <t>b. Purpose, nature, extent, duration and scope of processing</t>
  </si>
  <si>
    <t>c. Identity of the PIC</t>
  </si>
  <si>
    <t>d. Data subject rights and the process for exercising them</t>
  </si>
  <si>
    <r>
      <t>(</t>
    </r>
    <r>
      <rPr>
        <b/>
        <sz val="11"/>
        <color rgb="FF000000"/>
        <rFont val="Arial"/>
        <family val="2"/>
      </rPr>
      <t>For consent</t>
    </r>
    <r>
      <rPr>
        <sz val="11"/>
        <color rgb="FF000000"/>
        <rFont val="Arial"/>
        <family val="2"/>
      </rPr>
      <t>) Does the data subject give specific consent for each declared purpose of data processing? If processing serves multiple unrelated purposes, do you provide a list and allow them to choose which ones to consent to?</t>
    </r>
  </si>
  <si>
    <t>Do you inform the data subject of their right to object or withdraw consent to the processing of their personal data?</t>
  </si>
  <si>
    <t>Do you inform the data subject of the scope and consequences of withdrawing consent or objecting at the start of processing and upon withdrawal/objection?</t>
  </si>
  <si>
    <t>When a data subject objects, do you stop processing their personal data and comply with the objection unless processing is allowed in Section 12 and 13 of the DPA, excluding consent and legitimate interest?</t>
  </si>
  <si>
    <t>Do data subjects have the right to object to the processing of their personal data for direct marketing, profiling, or automated processing when it is the sole basis for decisions that significantly affect them?</t>
  </si>
  <si>
    <r>
      <t>Right to access</t>
    </r>
    <r>
      <rPr>
        <sz val="14"/>
        <rFont val="Arial"/>
        <family val="2"/>
      </rPr>
      <t> </t>
    </r>
  </si>
  <si>
    <t>Does the data subject have the right to confirm if their personal data is being processed and access details about its processing? Check all applicable</t>
  </si>
  <si>
    <t xml:space="preserve">a. Content and categories of his or her personal data </t>
  </si>
  <si>
    <t xml:space="preserve">b. Sources from which personal data was obtained, if not collected from the data subject </t>
  </si>
  <si>
    <t xml:space="preserve">c. Purposes of processing </t>
  </si>
  <si>
    <t xml:space="preserve">d. Manner by which personal data were processed </t>
  </si>
  <si>
    <t xml:space="preserve">e. Automated processes using personal data as the sole basis for decisions that significantly impact the data subject (if applicable) </t>
  </si>
  <si>
    <t xml:space="preserve">f. Names and addresses of recipients of the personal data (if applicable) </t>
  </si>
  <si>
    <t xml:space="preserve">g. Date when his or her personal data were last accessed and modified </t>
  </si>
  <si>
    <t xml:space="preserve">h. Retention period </t>
  </si>
  <si>
    <t xml:space="preserve">i. Designation, name or identity, and address of the DPO </t>
  </si>
  <si>
    <r>
      <t xml:space="preserve">Right to rectify </t>
    </r>
    <r>
      <rPr>
        <i/>
        <sz val="14"/>
        <color rgb="FF000000"/>
        <rFont val="Arial"/>
        <family val="2"/>
      </rPr>
      <t>(Excludes cases requiring a court order, government agency directive, or official legal process)</t>
    </r>
    <r>
      <rPr>
        <sz val="14"/>
        <color rgb="FF000000"/>
        <rFont val="Arial"/>
        <family val="2"/>
      </rPr>
      <t> </t>
    </r>
  </si>
  <si>
    <t>Does the data subject have the right to dispute inaccuracies in their personal data and have the PIC correct them within the reasonable time? </t>
  </si>
  <si>
    <t>If personal data has been corrected,</t>
  </si>
  <si>
    <t>a. Does the PIC ensure that both the new and retracted information are accessible and received simultaneously by the intended recipients?</t>
  </si>
  <si>
    <t xml:space="preserve">Failing to ensure that both corrected and retracted personal data are promptly shared with intended recipients increases the risk of data inconsistencies, leading to potential miscommunication or incorrect decision-making. 
Not informing recipients or third parties about corrected inaccuracies in personal data creates a risk of continued misuse or reliance on outdated information, violating data accuracy principles. </t>
  </si>
  <si>
    <t>b. Does the PIC inform recipients or third parties who previously received the inaccurate personal data about its inaccuracy and subsequent correction?</t>
  </si>
  <si>
    <r>
      <t>Right to erasure or blocking</t>
    </r>
    <r>
      <rPr>
        <sz val="14"/>
        <rFont val="Arial"/>
        <family val="2"/>
      </rPr>
      <t> </t>
    </r>
  </si>
  <si>
    <r>
      <t xml:space="preserve">Does the data subject have the right to request the suspension, withdrawal, blocking, removal, or destruction of their personal data from the PIC’s live and backup systems upon discovery and substantial proof of the following? 
</t>
    </r>
    <r>
      <rPr>
        <i/>
        <sz val="11"/>
        <color rgb="FF000000"/>
        <rFont val="Arial"/>
        <family val="2"/>
      </rPr>
      <t xml:space="preserve">Note:
Personal data is: 
a. Incomplete, outdated, false, or unlawfully obtained 
b. Used for unauthorized purpose 
c. No longer necessary for the purpose for which they were collected 
d. Prejudicial to the data subject, unless justified by freedom of speech, of expression, or of the press, or otherwise authorized </t>
    </r>
  </si>
  <si>
    <r>
      <t xml:space="preserve">Right to data portability </t>
    </r>
    <r>
      <rPr>
        <i/>
        <sz val="14"/>
        <color rgb="FF000000"/>
        <rFont val="Arial"/>
        <family val="2"/>
      </rPr>
      <t>(Applicable if processing is based on consent or contract AND processed electronically) </t>
    </r>
  </si>
  <si>
    <t>Does the data subject have the right to obtain a copy of their personal data from the PIC and have it transmitted to another PIC in a commonly used, structured, and electronic format? </t>
  </si>
  <si>
    <t>Right to file a complaint / damages</t>
  </si>
  <si>
    <t>Do you inform the data subject that they have the right to file a complaint with the NPC or be indemnified for damages caused by inaccurate, incomplete, outdated, false, unlawfully obtained, or unauthorized use of their personal data?</t>
  </si>
  <si>
    <r>
      <t>Organizational Security</t>
    </r>
    <r>
      <rPr>
        <sz val="14"/>
        <rFont val="Arial"/>
        <family val="2"/>
      </rPr>
      <t> </t>
    </r>
  </si>
  <si>
    <t>Have you appointed and registered a data protection officer (DPO) with the National Privacy Commission (NPC)?</t>
  </si>
  <si>
    <t>Have you registered this project or system with the NPC?</t>
  </si>
  <si>
    <t>Do you have an inventory of this project or system? Check all present</t>
  </si>
  <si>
    <t>The absence of an inventory for the project or system prevents the organization from effectively managing and monitoring personal data processing activities, increasing the risk of unauthorized access, data breaches, and non-compliance with data protection laws. </t>
  </si>
  <si>
    <t>a. Purpose of processing of personal data, including future processing or data sharing.</t>
  </si>
  <si>
    <t>b. Categories of data subjects, personal data, and recipients involved.</t>
  </si>
  <si>
    <t>c. Data flow from collection to disposal, including retention periods.</t>
  </si>
  <si>
    <t>d. Security measures (organizational, physical, and technical)</t>
  </si>
  <si>
    <t>e. Contacts details of the PIC, joint controller (if applicable), representative, and compliance officer or DPO.</t>
  </si>
  <si>
    <t>Do you conduct a PIA for this project or system annually and update it when necessary (e.g., new features, major changes, new regulations, new contracts entered), considering the minimum requirements? Check all present</t>
  </si>
  <si>
    <t>a. Data inventory</t>
  </si>
  <si>
    <t>i. Types and volume of personal data held, including employee records</t>
  </si>
  <si>
    <t>ii. List and location of repositories of personal data</t>
  </si>
  <si>
    <t>iii. Storage media used</t>
  </si>
  <si>
    <t>iv. Risks associated with data processing</t>
  </si>
  <si>
    <t>v. Processing operations across the data lifecycle, from collection to disposal</t>
  </si>
  <si>
    <t>b. Systematic Description</t>
  </si>
  <si>
    <t>c. Assessment of:</t>
  </si>
  <si>
    <t>i. General Data Privacy Principles</t>
  </si>
  <si>
    <t>ii. Rights and freedoms of a data subject</t>
  </si>
  <si>
    <t xml:space="preserve">iii. Data Security/confidentiality, integrity, and availability </t>
  </si>
  <si>
    <t>d. Risks identified are addressed by a Control Framework</t>
  </si>
  <si>
    <t>i. Nature of the personal data being protected</t>
  </si>
  <si>
    <t>ii. Risks from processing, organization size, and data volume</t>
  </si>
  <si>
    <t>iii. Industry best practices for data privacy</t>
  </si>
  <si>
    <t>iv. Cost of implementing security measures</t>
  </si>
  <si>
    <t>v. Purpose, scope, and risks of data sharing or outsourcing agreements</t>
  </si>
  <si>
    <t>Are the personnel who process personal data under strict confidentiality if personal data are not intended for public disclosure (signing of NDAs)?</t>
  </si>
  <si>
    <t>Do you periodically train employees, agents, personnel, or representatives on privacy and data protection policies?</t>
  </si>
  <si>
    <t>Do you have a Privacy Management Program (PMP) in place that considers the following? Check all present</t>
  </si>
  <si>
    <t>a. Organizational Commitment and leadership in data privacy.</t>
  </si>
  <si>
    <t>i. Management Buy-In</t>
  </si>
  <si>
    <t>ii. Data Protection Officer</t>
  </si>
  <si>
    <t>iii. Reporting Mechanisms</t>
  </si>
  <si>
    <t>b. Control Framework for developing privacy policies and implementing data protection measures.</t>
  </si>
  <si>
    <t>iv. Records of Processing Activities (RoPA)</t>
  </si>
  <si>
    <t>v. Risk Assessment</t>
  </si>
  <si>
    <t>vi. Registration</t>
  </si>
  <si>
    <t>vii. Policies and Procedures</t>
  </si>
  <si>
    <t>viii. Data Security</t>
  </si>
  <si>
    <t>ix. Capacity Building</t>
  </si>
  <si>
    <t>x. Breach Management</t>
  </si>
  <si>
    <t>xi. Notification</t>
  </si>
  <si>
    <t>xii. Third-Party Management</t>
  </si>
  <si>
    <t>xiii. Communication</t>
  </si>
  <si>
    <t>c. Oversight and continuous improvements of controls.</t>
  </si>
  <si>
    <t>xiv. Develop Oversight and Review Plan</t>
  </si>
  <si>
    <t>xv. Updates and Revisions</t>
  </si>
  <si>
    <t>Are there any data protection and security measure policies in place? Check all present</t>
  </si>
  <si>
    <t>a. Privacy Manual (PM)</t>
  </si>
  <si>
    <t>i. Introduction</t>
  </si>
  <si>
    <t>ii. Definition of Terms</t>
  </si>
  <si>
    <t>iii. Scope and Limitations</t>
  </si>
  <si>
    <t>iv. Processing of Personal Data</t>
  </si>
  <si>
    <t>1. Collection</t>
  </si>
  <si>
    <t>2. Use</t>
  </si>
  <si>
    <t>3. Storage, Retention, and Destruction</t>
  </si>
  <si>
    <t>4. Access</t>
  </si>
  <si>
    <t>5. Disclosure and Sharing</t>
  </si>
  <si>
    <r>
      <rPr>
        <b/>
        <sz val="11"/>
        <color rgb="FF000000"/>
        <rFont val="Arial"/>
        <family val="2"/>
      </rPr>
      <t>v. Security Measures</t>
    </r>
    <r>
      <rPr>
        <sz val="11"/>
        <color rgb="FF000000"/>
        <rFont val="Arial"/>
        <family val="2"/>
      </rPr>
      <t xml:space="preserve"> (can be a separate policy, e.g., Information Security Policy)</t>
    </r>
  </si>
  <si>
    <t>1. Organizational Measures</t>
  </si>
  <si>
    <t>a. Conduct of Privacy Impact Assessment (PIA)</t>
  </si>
  <si>
    <t>b. Designation and function of Data Protection Officer (DPO) and other responsible personnel</t>
  </si>
  <si>
    <t>c. Duty of confidentiality (signing an NDA)</t>
  </si>
  <si>
    <t>d. Conduct of training and seminars</t>
  </si>
  <si>
    <t>e. Review of PM</t>
  </si>
  <si>
    <t>f. Recording and documentation of activities carried out by the DPO/organization</t>
  </si>
  <si>
    <t>2. Physical Measures</t>
  </si>
  <si>
    <t>a. Format of data to be collected</t>
  </si>
  <si>
    <t>b. Storage type and location</t>
  </si>
  <si>
    <t>c. Access Control (onsite, remote, and online) and security clearance</t>
  </si>
  <si>
    <t>d. Design of office space/workstation</t>
  </si>
  <si>
    <t>e. Duties and responsibilities of personnel involved in processing</t>
  </si>
  <si>
    <t>f. Mode of transfer</t>
  </si>
  <si>
    <t>g. Retention and Disposal Procedure</t>
  </si>
  <si>
    <t>3. Technical Measures</t>
  </si>
  <si>
    <t>a. Monitoring for security breaches</t>
  </si>
  <si>
    <t>b. Security features of software and applications used</t>
  </si>
  <si>
    <t>c. Process for regular testing, assessment, and evaluation of security measures</t>
  </si>
  <si>
    <t>d. Encryption, authentication, and other technical security measures to control and limit access to personal data</t>
  </si>
  <si>
    <t xml:space="preserve">vi. Breach and Security Incidents (can be a separate policy, e.g., Security Incident Management Policy) </t>
  </si>
  <si>
    <t xml:space="preserve">1. Creation of a Data Breach Response Team </t>
  </si>
  <si>
    <t xml:space="preserve">2. Measures to prevent and mitigate breaches and security incidents </t>
  </si>
  <si>
    <t xml:space="preserve">3. Incident Response Procedure </t>
  </si>
  <si>
    <t xml:space="preserve">4. Records of security incidents and personal data breaches and notifications </t>
  </si>
  <si>
    <t xml:space="preserve">vii. Inquiries and Complaints (can be a separate policy, e.g., Data Subject and Third-Party Requests Policy) </t>
  </si>
  <si>
    <t xml:space="preserve">viii. Effectivity </t>
  </si>
  <si>
    <t xml:space="preserve">ix. Annexes </t>
  </si>
  <si>
    <t xml:space="preserve">1. Privacy Notice </t>
  </si>
  <si>
    <t xml:space="preserve">2. Consent Form </t>
  </si>
  <si>
    <t xml:space="preserve">3. Data Outsourcing Agreement </t>
  </si>
  <si>
    <t xml:space="preserve">4. Non-Disclosure Agreement </t>
  </si>
  <si>
    <t xml:space="preserve">5. Security Clearance </t>
  </si>
  <si>
    <t xml:space="preserve">6. Inquiry Form/Data Subject/Third Party Request Form </t>
  </si>
  <si>
    <t xml:space="preserve">May be in the PM or separate: </t>
  </si>
  <si>
    <t xml:space="preserve">x. Acceptable Use Policy </t>
  </si>
  <si>
    <t xml:space="preserve">xi. Password Policy </t>
  </si>
  <si>
    <t xml:space="preserve">xii. Business Continuity Plan </t>
  </si>
  <si>
    <t xml:space="preserve">xiii. Telecommuting </t>
  </si>
  <si>
    <t xml:space="preserve">xiv. CCTV Policy </t>
  </si>
  <si>
    <t xml:space="preserve">xv. Privacy-By-Design and Privacy-By-Default principles </t>
  </si>
  <si>
    <r>
      <rPr>
        <sz val="11"/>
        <color rgb="FFFF0000"/>
        <rFont val="Arial"/>
        <family val="2"/>
      </rPr>
      <t xml:space="preserve">(Optional) </t>
    </r>
    <r>
      <rPr>
        <sz val="11"/>
        <color rgb="FF000000"/>
        <rFont val="Arial"/>
        <family val="2"/>
      </rPr>
      <t>If the processing is delegated to a Personal Information Processor (PIP), is there a Data Outsourcing/Subcontracting Agreement? Check all present</t>
    </r>
  </si>
  <si>
    <t>The contract shall contain:</t>
  </si>
  <si>
    <t>a. Subject matter and duration of processing,</t>
  </si>
  <si>
    <t>b. Nature and purpose of processing</t>
  </si>
  <si>
    <t>c. Type of personal data and categories of data subjects</t>
  </si>
  <si>
    <t>d. Obligations and rights of the personal information controller (PIC)</t>
  </si>
  <si>
    <t>e. Geographic location of the processing</t>
  </si>
  <si>
    <t>f. PIP Obligations:</t>
  </si>
  <si>
    <t>i. Process personal data only as instructed by the PIC, including cross-border transfer, unless authorized by law.</t>
  </si>
  <si>
    <t>ii. Ensure confidentiality obligations for authorized personnel (signing of NDAs).</t>
  </si>
  <si>
    <t>iii. Implement security measures and comply with the DPA, its IRR and NPC issuances.</t>
  </si>
  <si>
    <t>iv. Obtain prior instruction before engaging another processor, ensuring equivalent data protection obligations.</t>
  </si>
  <si>
    <t>v. Assist the PIC in responding to data subjects’ rights request.</t>
  </si>
  <si>
    <t>vi. Support compliance with relevant laws, considering processing nature and available information.</t>
  </si>
  <si>
    <t>vii. Delete or return all personal data after service completion, unless retention is authorized by law.</t>
  </si>
  <si>
    <t>viii. Provide necessary information to demonstrate compliance and facilitate audits.</t>
  </si>
  <si>
    <t>ix. Immediately notify the PIC if an instruction violates the law.</t>
  </si>
  <si>
    <r>
      <rPr>
        <sz val="11"/>
        <color rgb="FFFF0000"/>
        <rFont val="Arial"/>
        <family val="2"/>
      </rPr>
      <t xml:space="preserve">(Optional) </t>
    </r>
    <r>
      <rPr>
        <sz val="11"/>
        <color rgb="FF000000"/>
        <rFont val="Arial"/>
        <family val="2"/>
      </rPr>
      <t>If there is data sharing with another organization or person outside your organization, do you observe below general principles? Check all present</t>
    </r>
  </si>
  <si>
    <t>a. Adherence to the data privacy principles of transparency, legitimate purpose, and proportionality.</t>
  </si>
  <si>
    <t>b. Compliance with the DPA, its IRR, and relevant NPC issuances.</t>
  </si>
  <si>
    <t>c. Recognition and protection of data subjects’ right, except as otherwise provided by law.</t>
  </si>
  <si>
    <t>d. Ensuring data accuracy, completeness, and updates as necessary for its legitimate purpose.</t>
  </si>
  <si>
    <t>e. Implementing appropriate security measures to protect personal data from destruction, alteration, disclosure, or other unlawful processing.</t>
  </si>
  <si>
    <t>Note: Under NPC Circular 2020-03, a data-sharing agreement is no longer mandatory but remains to be a sound recourse to demonstrate accountable personal data processing, as well as good faith in complying with the requirements of the DPA, its IRR, and NPC issuances.</t>
  </si>
  <si>
    <r>
      <t>Physical Security</t>
    </r>
    <r>
      <rPr>
        <sz val="14"/>
        <rFont val="Arial"/>
        <family val="2"/>
      </rPr>
      <t> </t>
    </r>
  </si>
  <si>
    <t>Do you monitor and limit the access and activities to places where the process or system is undertaken? Check all present</t>
  </si>
  <si>
    <t>a. Rooms (e.g., Server Rooms, Offices, Storage Rooms)</t>
  </si>
  <si>
    <t>b. Workstations (e.g., employee desks, shared spaces, open offices)</t>
  </si>
  <si>
    <t>c. Facilities (e.g., buildings, offices, warehouse, data centers)</t>
  </si>
  <si>
    <t>d. Physical file and media storage areas (e.g., file rooms, archives, server racks)</t>
  </si>
  <si>
    <t>Are duties, responsibilities, and schedules clearly defined to ensure only authorized individuals are present during data processing?</t>
  </si>
  <si>
    <t>Are there procedures in place for the secure transfer, removal, disposal, and re-use of physical files and media?</t>
  </si>
  <si>
    <t>Are there measures to prevent the destruction of physical files and equipment while protecting workspaces from disaster, power disturbances, and security threats? Check all present</t>
  </si>
  <si>
    <t>a. Facility &amp; Perimeter Security (e.g., controlled entry points, security guards/reception desk, perimeter barriers, CCTV, lighting &amp; signage/restricted access)</t>
  </si>
  <si>
    <t>b. Access Control Monitoring (e.g. role-based physical access/security clearance, visitor management system, access logs &amp; audit trails, motion detectors &amp; alarms)</t>
  </si>
  <si>
    <t>c. Secure Workstations &amp; Office Spaces (e.g., screen lock &amp; privacy screens, clean desk policy, cable management &amp; device locking)</t>
  </si>
  <si>
    <t>d. Data Storage &amp; Media Protection (e.g., secure storage for physical files and media, shredding &amp; degaussing, inventory tracking of storage devices)</t>
  </si>
  <si>
    <t>e. Environmental &amp; Disaster Protection (e.g., fire suppression systems, climate control for data centers &amp; storage rooms, UPS &amp; backup generators, flood &amp; earthquake protection measures)</t>
  </si>
  <si>
    <t>f. Incident Response &amp; Physical Security Awareness (e.g., emergency evacuation plans, physical security incident reporting, employee awareness training)</t>
  </si>
  <si>
    <r>
      <t>Technical Security</t>
    </r>
    <r>
      <rPr>
        <sz val="14"/>
        <rFont val="Arial"/>
        <family val="2"/>
      </rPr>
      <t> </t>
    </r>
  </si>
  <si>
    <t>Has the program taken reasonable steps to protect personal data from misuse, loss, unauthorized access, modification, or disclosure? Check all present</t>
  </si>
  <si>
    <t>a. Access Control &amp; Authentication (e.g., multi-factor authentication, least privilege &amp; role-based access control/security clearance, account lockout &amp; session timeout, password policy, access control policy, access rights and authentication mechanisms defined by a System Management Tool)</t>
  </si>
  <si>
    <t>b. Data Protection &amp; Encryption (e.g., AES-256 for storage, TLS 1.2/1.3 for transmission, data loss prevention, offline &amp; encrypted secure backups, data retention &amp; secure disposal)</t>
  </si>
  <si>
    <t>c. Network Security (e.g., firewall &amp; intrusion detection/prevention systems, network segmentation, VPN, secure wireless access)</t>
  </si>
  <si>
    <t>d. Endpoint Security &amp; System Hardening (e.g., antivirus &amp; endpoint protection, patch management &amp; software updates, restricted USB &amp; device control, secure configuration baselines/CIS benchmarks)</t>
  </si>
  <si>
    <t>e. Application &amp; API Security (e.g., web application firewall, DevSecOps, API security controls, regular security testing)</t>
  </si>
  <si>
    <t>f. Logging &amp; Monitoring &amp; Incident Response (e.g., centralized logging/SIEM, audit logs for critical systems, incident response plan, security awareness training, remote disconnection or deletion and loss notification for mobile devices)</t>
  </si>
  <si>
    <t>Do you regularly monitor security breaches and address vulnerabilities in your computer network?</t>
  </si>
  <si>
    <t xml:space="preserve">Failure to implement reasonable and appropriate security measures – Technical 
Failure to notify the Commission and affected data subjects of personal  
data breaches 
Personal Data Breach - Availability, Integrity, Confidentiality
Unlawful Processing - Concealment of Security Breaches Involving Sensitive Personal Information </t>
  </si>
  <si>
    <t>Can you restore access to personal data promptly after a physical or technical incident (Business Continuity Plan)?</t>
  </si>
  <si>
    <t>Do you have a process for regularly testing and evaluating the effectiveness of security measures?</t>
  </si>
  <si>
    <r>
      <rPr>
        <b/>
        <sz val="14"/>
        <color rgb="FF000000"/>
        <rFont val="Arial"/>
        <family val="2"/>
      </rPr>
      <t xml:space="preserve"> (</t>
    </r>
    <r>
      <rPr>
        <b/>
        <sz val="14"/>
        <color rgb="FFFF0000"/>
        <rFont val="Arial"/>
        <family val="2"/>
      </rPr>
      <t>Optional</t>
    </r>
    <r>
      <rPr>
        <b/>
        <sz val="14"/>
        <color rgb="FF000000"/>
        <rFont val="Arial"/>
        <family val="2"/>
      </rPr>
      <t>) Cross-border Data Flows</t>
    </r>
  </si>
  <si>
    <t>Is there any cross-border transfer of data?</t>
  </si>
  <si>
    <t>Does the project or system transfer personal data to an organization or individual outside the Philippines, including cloud storage or data centers? Personal data will only be transferred to someone outside of the Philippines if any of the following apply: Check all applicable</t>
  </si>
  <si>
    <t>a. The individual consents to the transfer</t>
  </si>
  <si>
    <t>b. The recipients is subject to laws or a contract enforcing information handling principles similar to the DPA of 2012.</t>
  </si>
  <si>
    <t>c. The transfer is necessary to fulfill a contract between the individual and the organization.</t>
  </si>
  <si>
    <t>d. The transfer is required for a contract in the individual’s interest between the organization and a third party</t>
  </si>
  <si>
    <t>e. The transfer benefits the individual.</t>
  </si>
  <si>
    <t>Has the organization taken reasonable steps to ensure that transferred data is stored, used, disclosed, and processed in compliance with the DPA of 2012? Check all present</t>
  </si>
  <si>
    <t>a. Data Transfer Security (e.g., lawful basis, data sharing/outsourcing agreements, secure transmission methods – TLS 1.2/1.3, VPN, data minimization)</t>
  </si>
  <si>
    <t>b. Data Storage &amp; Protection (e.g., encryption of data at rest/AES-256, access control &amp; role-based permissions, secure physical &amp; cloud storage, data retention &amp; disposal policies)</t>
  </si>
  <si>
    <t>c. Data Usage &amp; Processing Compliance (e.g., purpose limitation, regular data processing audit, anonymization &amp; pseudonymization, consent management)</t>
  </si>
  <si>
    <t>d. Data Disclosure Controls (e.g., strict third-party sharing rules, confidentiality agreements, data subject access &amp; correction rights, data breach notification procedures)</t>
  </si>
  <si>
    <t>e. Compliance, Monitoring &amp; Awareness (e.g., PIA, appointment of a DPO, Employee Privacy Training, Incident Response Plan)</t>
  </si>
  <si>
    <t>Observation (Threat/Vulnerability)</t>
  </si>
  <si>
    <t>Inherent
Risk</t>
  </si>
  <si>
    <t>Risk Treatment</t>
  </si>
  <si>
    <t>Mitigation Measure</t>
  </si>
  <si>
    <t>Status</t>
  </si>
  <si>
    <t>Residual Risk Rating</t>
  </si>
  <si>
    <t>Control Reference</t>
  </si>
  <si>
    <t>Start Date</t>
  </si>
  <si>
    <t>Completion Date</t>
  </si>
  <si>
    <t>Review Frequency</t>
  </si>
  <si>
    <t>Risk Owner</t>
  </si>
  <si>
    <t>Reduce</t>
  </si>
  <si>
    <t>Develop and implement a layered privacy notice in compliance with Section 3(A) of NPC Circular 2023-04, with the minimum required information presented up front.
Use just-in-time notice at data collection point to provide context-specific, easily accessible information.
Ensure the Full Privacy Notice satisfies Section 18(a) and Section 34(a)(2) of the DPA IRR and is linked or accessible from all layered and just-in-time notices.
Establish procedures for periodic review and update of all notices.</t>
  </si>
  <si>
    <t>Planned</t>
  </si>
  <si>
    <t>Low</t>
  </si>
  <si>
    <t>SECS. 18(a), 34 (a)(2), IRR
SECS. 3(A) 9(C), NPC Circular 2023-04</t>
  </si>
  <si>
    <t>[Reflect Calendar]</t>
  </si>
  <si>
    <t>Annual or upon any significant change to data processing activities</t>
  </si>
  <si>
    <t>System/Process Owner</t>
  </si>
  <si>
    <t>Develop a privacy notice using clear and plain language. Ensure that the information is easy to access, understandable, and readily available in a format and language or dialect that is appropriate for the target audience.
Validate comprehension through testing with representative users.</t>
  </si>
  <si>
    <t xml:space="preserve">SEC. 18(a), IRR
SEC. 3(E), NPC Circular 2023-04
</t>
  </si>
  <si>
    <t xml:space="preserve">Establish a Purpose Declaration and Compatibility Framework requiring that all personal data processing activities declare a specific, lawful, and clearly defined purpose prior to collection, ensuring it is not contrary to law, morals, good customs, public order, or public policy.
For any new or secondary data use, conduct a Purpose Compatibility Assessment using the following criteria and guiding questions:
Is the new purpose closely related to the originally declared purpose?
Would a data subject reasonably expect this new use given the context of collection?
Does the new purpose involve sensitive personal data or increase risk?
Could this use cause harm, confusion, or distress?
Are there sufficient safeguards (e.g., anonymization, opt-out) to mitigate risks?
All purposes must be documented in the Data Mapping, reflected in layered privacy notices, and define the boundaries of data subject consent. </t>
  </si>
  <si>
    <t>SEC. 18(b), IRR
SEC. 4, NPC Circular 2023-04</t>
  </si>
  <si>
    <t>Ensure that all processing activities are mapped to one of the lawful bases (e.g., consent, contract, legal obligation). Integrate checks during the PIA processes. Train key departments on identifying and applying appropriate legal bases.</t>
  </si>
  <si>
    <t>SECS. 4, 12, 13, DPA</t>
  </si>
  <si>
    <t>Personal Data</t>
  </si>
  <si>
    <t>For Collection Form - 
Conduct regular Data Mapping review to ensure only necessary personal data is collected for each processing activity. Implement field-level data minimization controls in systems. Include proportionality checks in PIA. Train process owners and data handlers on the data minimization principle.
For Off-the-Shelf Software - 
The organization shall adopt Privacy-By-Design and Privacy-By-Default principles in the use and configuration of off-the-shelf software, tools, or systems. A Privacy Impact Assessment (PIA) shall be conducted prior to the use or deployment of such systems to evaluate their alignment with data protection requirements. Any system functions or features that lack a lawful basis or are inconsistent with general data privacy principles must be switched off, deactivated, or appropriately configured. Privacy requirements shall be embedded at every stage of system design and implementation (privacy engineering), and only those functionalities necessary and proportionate to the legitimate purpose of the processing shall be enabled by default.</t>
  </si>
  <si>
    <t xml:space="preserve">
For Colection Form
SEC. 11(d), DPA
For Off-the-Shelf Software
SEC. 11(d), DPA
SECS. 7, 8, 9, NPC Circular 2023-06</t>
  </si>
  <si>
    <t xml:space="preserve">
For Colection Form
SEC. 11(d), DPA
For Off-the-Shelf Software
SEC. 11(d), DPA
SECS. 7, 8, 9, NPC Circular 2023-07</t>
  </si>
  <si>
    <t xml:space="preserve">
For Colection Form
SEC. 11(d), DPA
For Off-the-Shelf Software
SEC. 11(d), DPA
SECS. 7, 8, 9, NPC Circular 2023-08</t>
  </si>
  <si>
    <t xml:space="preserve">
For Colection Form
SEC. 11(d), DPA
For Off-the-Shelf Software
SEC. 11(d), DPA
SECS. 7, 8, 9, NPC Circular 2023-09</t>
  </si>
  <si>
    <t xml:space="preserve">
For Colection Form
SEC. 11(d), DPA
For Off-the-Shelf Software
SEC. 11(d), DPA
SECS. 7, 8, 9, NPC Circular 2023-10</t>
  </si>
  <si>
    <t>Ensure that all privacy notices and consent forms are written in clear, plain, and neutral language, making them easy to understand and access. Personal data shall be processed fairly and lawfully, without manipulation or undue pressure. Conduct fairness reviews to eliminate biased or coercive language. Integrate these checks into the Privacy Notice/Consent Development Protocol and validate with target audience testing or expert review.</t>
  </si>
  <si>
    <t>SEC. 19(b), IRR
SECS. 6, 7, NPC Circular 2023-04</t>
  </si>
  <si>
    <t>Ensure that personal data is accurate and, where necessary for declared, specified, and legitimate purposes, kept up to date. Implement validation checks, periodic reviews, and self-service options for updates. Integrate accuracy requirements in data collection and processing workflows.</t>
  </si>
  <si>
    <t>SEC. 19(c)(1), IRR</t>
  </si>
  <si>
    <t>Implement measures to identify and correct inaccurate or incomplete data. Where applicable, such data must be rectified, supplemented, destroyed, or their further processing restricted. Integrate this requirement into data collection, system updates, and data subject rights procedures. Enable data subjects to request corrections and establish review checkpoints across the data lifecycle.</t>
  </si>
  <si>
    <t>SEC. 19(c)(2), IRR</t>
  </si>
  <si>
    <t xml:space="preserve">b. Data processing restrictions of inaccurate or complete data until rectified </t>
  </si>
  <si>
    <t>Ensure that personal data is collected for a specified and declared purpose, and not further processed in a manner incompatible with that purpose. Require purpose documentation in Data Mapping and privacy notices. Conduct purpose compatibility assessments for secondary uses. Train staff to validate alignment before initiating processing activities.</t>
  </si>
  <si>
    <t>SEC. 19(a)(e), IRR</t>
  </si>
  <si>
    <t>Store personal data only for as long as necessary for the specific, declared purpose for which it was initially processed. Establish and implement a documented Retention Policy that defines appropriate retention periods. Review and update the policy periodically, and ensure that data subjects are informed of the policy and any changes to it. Integrate retention controls in systems and disposal procedures.</t>
  </si>
  <si>
    <t>SEC. 19(d), IRR
SEC. 9, NPC Circular 2023-06</t>
  </si>
  <si>
    <t>No</t>
  </si>
  <si>
    <r>
      <t xml:space="preserve">Obtain consent prior to collection or processing and ensure it is freely given, specific, informed, and evidenced through written, electronic, or recorded means. Consent must be time-bound to the declared, specified, and legitimate purpose, and must include a clear proposal from the PIC requesting authorization under stated terms (e.g., </t>
    </r>
    <r>
      <rPr>
        <i/>
        <sz val="11"/>
        <color rgb="FF000000"/>
        <rFont val="Arial"/>
        <family val="2"/>
      </rPr>
      <t>we request your consent, or by signing, you consent to the processing, etc.</t>
    </r>
    <r>
      <rPr>
        <sz val="11"/>
        <color rgb="FF000000"/>
        <rFont val="Arial"/>
        <family val="2"/>
      </rPr>
      <t>). Maintain verifiable records of consent and regularly review consent capture processes for compliance.</t>
    </r>
  </si>
  <si>
    <t>SEC. 19(a)(1), IRR
SECS. 3(D)(4), 11 NPC Circular 2023-04</t>
  </si>
  <si>
    <t>Yes</t>
  </si>
  <si>
    <t>Ensure that all consent forms and privacy notices clearly inform the data subject of the nature, purpose, and extent of processing, including associated risks, safeguards, the identity of the PIC, the rights of the data subject, and how these rights may be exercised. At a minimum, include the information in Section 3(A), NPC Circular 2023-04. Present the information using layered notices, clear language, and accessible formats. Regularly review and update notices to ensure accuracy and compliance.</t>
  </si>
  <si>
    <t>SEC. 3(A), NPC Circular 2023-04</t>
  </si>
  <si>
    <t>Ensure that consent is specific and purpose-bound, not bundled. When processing personal data for multiple, unrelated purposes, present each purpose separately and allow the data subject to select which purposes they consent to. Avoid requiring all-inclusive consent. Integrate granular consent options in consent forms and systems, and include this requirement in consent management policies and development checklists.</t>
  </si>
  <si>
    <t>SEC. 8, NPC Circular 2023-04</t>
  </si>
  <si>
    <t>Clearly inform data subjects of their right to object to the processing of their personal data, including processing for direct marketing, automated processing, or profiling. Provide mechanisms to object or withdraw consent at any time. Notify data subjects of any changes or amendments to the processing terms and offer an opportunity to withhold or withdraw consent. Integrate these controls in privacy notices, consent forms, and system interfaces.</t>
  </si>
  <si>
    <t>SEC. 34(b), IRR</t>
  </si>
  <si>
    <t>Inform data subjects of their right to object or withdraw consent at the start of processing and again at the point of withdrawal. Clearly explain the scope and consequences, including any further processing, its purposes, and lawful bases relied on. Define a reasonable retention period for personal data after withdrawal, based on lawful bases, industry standards, and operational needs. Reflect these requirements in privacy notices, consent workflows, and internal retention policies.</t>
  </si>
  <si>
    <t>SEC. 13(C)(E), NPC Circular 2023-04</t>
  </si>
  <si>
    <t>Upon receiving a valid objection or withdrawal of consent, and where no other lawful basis applies, the PIC must stop processing without undue delay, terminate any related activities or services, and delete the personal data. Inform data subjects that withdrawal does not affect prior lawful processing. Ensure systems support real-time consent revocation and flagging of affected records for secure deletion. Update internal SOPs and train staff accordingly.</t>
  </si>
  <si>
    <t>SEC. 13, NPC Circular 2023-04</t>
  </si>
  <si>
    <t>Ensure data subjects are informed of their right to object to the processing of their personal data, including for direct marketing, profiling, or automated processing. Implement opt-out mechanisms and allow objections at any time. When automated processing is the sole basis for a decision with legal or significant effects, obtain explicit consent. Integrate controls into privacy notices, systems, and staff training.</t>
  </si>
  <si>
    <t>SEC. 34(b), IRR
SEC. 18(C), NPC Circular 2023-04</t>
  </si>
  <si>
    <t>Establish procedures to ensure that data subjects can exercise their right to access and obtain confirmation of processing, including details listed under Section 34(c) of the IRR upon demand. Make access request channels easily accessible, document request handling in standard operating procedures, and train personnel on turnaround times and verification steps. Include access rights in privacy notices, and maintain logs for tracking and audit.</t>
  </si>
  <si>
    <t>SEC. 34(c), IRR</t>
  </si>
  <si>
    <t>Establish a clear process allowing data subjects to dispute and correct inaccurate or incomplete personal data within a reasonable time. Ensure that requests are addressed immediately and accordingly, unless deemed vexatious or unreasonable. Allow data subjects to provide supplementary statements where needed to complete incomplete data. Reflect this right in the privacy notice, enable requests through accessible channels, and maintain logs for tracking and audit.</t>
  </si>
  <si>
    <t>SEC. 34(d), IRR</t>
  </si>
  <si>
    <t>When personal data is corrected or retracted, ensure that both the updated and withdrawn information are made accessible and are simultaneously transmitted to all intended recipients. Implement procedures and system controls to track disclosures, update third parties, and confirm receipt of corrected data. Document these obligations in data sharing agreements and internal SOPs.</t>
  </si>
  <si>
    <t>Upon reasonable request of the data subject, inform all recipients or third parties who previously received the inaccurate personal data of its inaccuracy and subsequent rectification. Establish procedures for tracking data disclosures and facilitating timely notifications. Reflect this obligation in data sharing agreements and internal correction protocols.</t>
  </si>
  <si>
    <t>Enable data subjects to request suspension, blocking, withdrawal, removal, or destruction of their personal data from both live and backup systems. Inform data subjects of the consequences of erasure, and notify third parties or recipients of such deletion. For publicly available data, take reasonable and appropriate steps (e.g., request delisting or removal) from third-party platforms. Document and integrate these measures in the data retention, disposal, and data subject rights procedures.</t>
  </si>
  <si>
    <t>SEC. 34(e), IRR</t>
  </si>
  <si>
    <t>Establish a process to allow data subjects to request and obtain a copy of their personal data in a commonly used, machine-readable, structured format (e.g., XML, JSON, CSV), and to transmit such data to another PIC. Limit portability to personal data provided by the data subject. Ensure that this right does not adversely affect the rights of others and apply security measures to prevent unintentional disclosure of third-party data. Receiving PICs must be prohibited from using any included third-party data for their own purposes.</t>
  </si>
  <si>
    <t>SEC. 36, IRR</t>
  </si>
  <si>
    <t>Clearly inform data subjects—through privacy notices of their right to seek indemnification for any damage caused by inaccurate, false, outdated, unlawfully obtained, or unauthorized use of personal data. State that data subjects may file a complaint with the NPC under its Rules of Procedure. Update internal SOPs to handle such requests and train relevant teams to ensure consistent, rights-based responses.</t>
  </si>
  <si>
    <t>SEC. 34(f), IRR</t>
  </si>
  <si>
    <t>Have you appointed and registered a data protection officer with the National Privacy Commission (NPC)?</t>
  </si>
  <si>
    <t>Designate and register a qualified Data Protection Officer (DPO) with the National Privacy Commission (NPC), in compliance with the Data Privacy Act (DPA), its IRR, and relevant NPC issuances. The DPO shall be responsible for ensuring privacy compliance, managing data protection strategies, and acting as the main contact for the NPC and data subjects. Responsibilities must be documented and supported by adequate resources.</t>
  </si>
  <si>
    <t>SEC. 26(a), IRR
SEC. 4(A), NPC Circular 2023-06
NPC Circular 2022-04</t>
  </si>
  <si>
    <t>Register the organization’s data processing systems with the National Privacy Commission (NPC) in accordance with the Data Privacy Act (DPA), its IRR, and all relevant NPC circulars and advisories. Maintain a record of all processing systems and ensure timely updates or renewals of registration as required. Integrate this step in project onboarding and compliance checklists.</t>
  </si>
  <si>
    <t>SEC. 4(B), NPC Circular 2023-06
NPC Circular 2022-04</t>
  </si>
  <si>
    <t>Create and maintain an inventory of all data processing systems and activities, as required under Section 26(c) and (e) of the IRR. The inventory must clearly describe each processing system and the roles and responsibilities of individuals with access to personal data. Integrate the inventory into privacy governance tools and regularly review and update it to reflect changes.</t>
  </si>
  <si>
    <t>SEC. 26(c)(e), IRR
SEC. 4(C), NPC Circular 2023-04</t>
  </si>
  <si>
    <t>Conduct a Privacy Impact Assessment (PIA) on data processing systems and off-the-shelf software and update it as necessary, such as when there are new features, major changes, new regulations, or third-party contracts. Monitor and update previously assessed and newly identified controls. Incorporate PIA results into the organization's Privacy Management Program to ensure continuous risk-based improvements.</t>
  </si>
  <si>
    <t>SEC. 4(D), 5, 6, 7, NPC Circular 2023-06</t>
  </si>
  <si>
    <t>Require all employees, agents, and representatives with access to personal data to sign strict confidentiality agreements (NDAs) and operate under a duty of confidentiality that persists even after separation, reassignment, or contract termination. Only authorized personnel with proper security clearance or equivalent shall be granted access to personal data, and a copy of such clearance must be filed with the Data Protection Officer (DPO). Embed this requirement in onboarding and offboarding procedures.</t>
  </si>
  <si>
    <t>SEC. 26(d), IRR
SEC. 13, NPC Circular 2023-06</t>
  </si>
  <si>
    <t>Conduct regular privacy and data protection training programs for all employees, agents, personnel, or representatives, particularly those involved in processing personal data. Ensure that training includes orientation on the organization’s privacy and security policies, relevant laws and regulations, and specific responsibilities. Maintain attendance records and refresher schedules. Integrate training into onboarding, and conduct refresher sessions periodically or when policies are updated.</t>
  </si>
  <si>
    <t>SEC. 26(d), IRR
SEC. 4(F), NPC Circular 2023-06</t>
  </si>
  <si>
    <t>Establish and implement a Privacy Management Program (PMP) that includes: (1) clear organizational commitment and leadership accountability for data privacy; (2) a control framework for policy development, risk assessment, and implementation of data protection measures; and (3) mechanisms for oversight, monitoring, and continuous improvement. Regularly update the PMP in response to regulatory changes and audit results</t>
  </si>
  <si>
    <t>SEC. 4(E), NPC Circular 2023-06</t>
  </si>
  <si>
    <t>Develop, implement, and regularly review comprehensive data protection and security measure policies, covering the following: (1) procedures for the lawful collection of personal data and obtaining consent, if applicable; (2) controls limiting data processing to the declared, specified, and legitimate purpose; (3) access management policies, system monitoring, and protocols for incident response; (4) procedures enabling data subjects to exercise their rights under the DPA; and (5) a data retention schedule defining timelines or conditions for erasure or secure disposal. Disseminate these policies to all relevant personnel and ensure compliance through training and audits.</t>
  </si>
  <si>
    <t>SEC. 26(e), IRR
SEC. 4(G), NPC Circular 2023-06</t>
  </si>
  <si>
    <t>Require that all data processing by Personal Information Processors (PIPs) be governed by a Data Outsourcing/Subcontracting Agreement or equivalent legal act. The agreement must: (1) bind the PIP to the PIC and include enforceable provisions ensuring confidentiality, integrity, and availability of personal data; (2) restrict use to only authorized purposes; and (3) ensure compliance with the DPA, its IRR, and relevant NPC issuances. The PIC must verify that the PIP has implemented appropriate security measures and can demonstrate compliance. Conduct due diligence and regular audits of PIPs.</t>
  </si>
  <si>
    <t>Rule X, IRR
SEC. 10, NPC Circular 2023-06</t>
  </si>
  <si>
    <t>Ensure that any data sharing arrangement with external parties complies with the Data Privacy Act and NPC requirements. Data sharing must occur only between Personal Information Controllers (PICs) and must be governed by an agreement that: (A) adheres to transparency, legitimate purpose, and proportionality; (B) satisfies all legal requirements; (C) recognizes and upholds the rights of data subjects; (D) ensures that shared data is accurate, complete, and updated when necessary; and (E) requires the implementation of reasonable and appropriate organizational, physical, and technical security measures. Regularly review and audit data sharing arrangements.</t>
  </si>
  <si>
    <t>SEC. 3, NPC Circular 2020-03</t>
  </si>
  <si>
    <t>Implement an Access Control Policy that restricts access to rooms, workstations, and facilities where personal data is processed to authorized personnel only, based on a “need to know” basis. Use authentication methods and monitoring tools to regulate and audit access. Issue and document security clearances or their equivalent, and ensure copies are filed with the DPO. Establish procedures for the secure use of electronic media. Office layouts should support physical security and privacy. Conduct periodic inspections and compliance audits.</t>
  </si>
  <si>
    <t>SEC. 27(a)(b), IRR
SEC. 13, NPC Circular 2023-06</t>
  </si>
  <si>
    <t>Define and document the duties, responsibilities, and work schedules of all personnel involved in personal data processing. Ensure only those performing official tasks are present in processing areas at any given time. Implement a monitoring system or log to track access and presence in workstations or rooms. Establish physical or administrative controls (e.g., ID badges, room access rosters) to restrict entry to authorized staff only.</t>
  </si>
  <si>
    <t>SEC. 27(c), IRR</t>
  </si>
  <si>
    <t>Implement policies and procedures governing the secure transfer, storage, disposal, and reuse of physical files and electronic media. Regulate the use of removable media (e.g., USB, CDs) by requiring encryption and restricting use to authorized personnel. Transmit documents containing personal data through registered mail or secured courier services, ensuring delivery only to authorized recipients. Establish secure destruction procedures including shredding of paper records and use of secure wiping or degaussing tools for electronic storage.</t>
  </si>
  <si>
    <t>SEC. 27(d), IRR
SECS. 25, 27, 30, NPC Circular 2023-06</t>
  </si>
  <si>
    <t xml:space="preserve">Establish and implement physical security protocols to protect files and equipment from destruction due to disasters, power disturbances, and unauthorized access. Secure rooms and workstations against environmental and external threats. Develop procedures for proper disposal of personal data, considering data retention periods, applicable laws, de-identification or deletion techniques, and documentation requirements. Maintain a log for physical filing systems to track access, copying, and review activities. Regularly review logs and update procedures as necessary. </t>
  </si>
  <si>
    <t>SEC. 27(e), IRR
SEC. 19, NPC Circular 2023-06</t>
  </si>
  <si>
    <t>Implement a robust security policy covering the processing of personal data. Apply safeguards to protect networks from unauthorized access, interference, and loss of integrity or availability. Maintain the confidentiality, integrity, availability, and resilience of systems. Use secure email protocols and scanning tools to prevent data leaks. Enable remote data wipe/disconnection for lost mobile devices. Limit access to known, secure devices only; control use of external media via endpoint protection and USB restrictions. Enforce secure authentication (e.g., MFA, encrypted links), define user access rights using a system management tool. Only authorized and licensed software may access or modify personal data. Apply Privacy-by-Design and Privacy-by-Default principles. Integrate privacy in system development through Privacy Engineering. Enforce a Password Policy requiring strong, unique passphrases and alignment with current industry best practices.</t>
  </si>
  <si>
    <t>SEC. 28(a)(b)(c), IRR
SECS. 7,8, 11, 12, 16, 17, 18, NPC Circular 2023-06</t>
  </si>
  <si>
    <t>Information Security/ IT team</t>
  </si>
  <si>
    <t>Implement continuous monitoring of systems for security breaches and establish a process to identify and assess reasonably foreseeable network vulnerabilities. Take preventive, corrective, and mitigating actions to reduce the likelihood and impact of security incidents that may lead to personal data breaches. Adopt and enforce a Security Incident Management Policy covering the full incident lifecycle—from identification to containment, recovery, and post-incident review. The policy must also include proactive measures to minimize the risk of breaches and ensure compliance with breach notification requirements under the DPA and NPC Circulars. Establish a Data Breach Response Team or Security Incident Response Team, which shall include at least one (1) member authorized to make immediate, critical decisions during a breach. The Data Protection Officer (DPO) may be designated as a member of this team.</t>
  </si>
  <si>
    <t>SEC. 28(d), IRR
NPC Circular 16-03</t>
  </si>
  <si>
    <t xml:space="preserve">Ensure the ability to restore the availability and access to personal data in a timely manner in the event of a physical or technical incident. Develop and implement a Business Continuity Plan (BCP) that includes:
• Personal data backup and restoration procedures, including acceptable restoration and remedial time;
• Periodic review and testing of the BCP, incorporating disaster recovery, business impact assessment, privacy considerations, crisis communication protocols, and telecommuting arrangements;
• Updated contact lists and contingency planning for critical operational resources (e.g., electrical supply, building facilities, ICT assets).
</t>
  </si>
  <si>
    <t>SEC. 28(e), IRR
SEC. 21, NPC Circular 2023-06</t>
  </si>
  <si>
    <t xml:space="preserve">Establish a process for regularly testing, assessing, and evaluating the effectiveness of security measures.
Continuously adapt security controls to respond to emerging threats by:
Identifying evolving risks using authoritative threat intelligence sources (e.g., NCERT, vendor advisories);
Integrating relevant threats into Privacy Impact Assessments (PIAs) to assess if they create new or unacceptable risks;
Implementing corrective actions as necessary to address identified vulnerabilities and emerging threats.
Regularly review and update security protocols based on testing outcomes, audit findings, and risk assessments.
</t>
  </si>
  <si>
    <t>SEC. 28(f), IRR
SEC. 32, NPC Circular 2023-06</t>
  </si>
  <si>
    <t>Prior to any cross-border transfer of personal data, the organization shall ensure that such transfers are grounded on a lawful basis under the Data Privacy Act of 2012. Only countries with adequate protection, contractual safeguards, or a specific legal basis (e.g., consent, contract, or international agreements) will be permitted as data transfer destinations. The Data Protection Officer will maintain records of all cross-border transfers, and contracts entered into.</t>
  </si>
  <si>
    <t>SECS. 21, 22, 50, IRR</t>
  </si>
  <si>
    <t>Prior to cross-border transfers of personal data, the PIC or PIP must:
Adopt a Model Contractual Clause (MCC) or equivalent legal instruments to govern the transfer;
Conduct a Transfer Impact Assessment (TIA), which must include: (1) Nature and categories of personal data involved; (2) Identity and contact details of the receiving entity; (3) Applicable laws and practices in the destination country that may affect the protection of personal data; (4) Security measures and safeguards in place (organizational, physical, and technical); and (5) Assessment of the necessity and proportionality of the transfer.
The TIA and executed MCC must be documented, maintained, and submitted to the NPC upon request.</t>
  </si>
  <si>
    <t>NPC Advisory 2024-03
ART. 46, GDPR</t>
  </si>
  <si>
    <t>Privacy Risk Map</t>
  </si>
  <si>
    <t xml:space="preserve">Rating </t>
  </si>
  <si>
    <t>Type</t>
  </si>
  <si>
    <t>Negligible</t>
  </si>
  <si>
    <t>The data subjects will either not be affected or may experience minor inconveniences that they can easily manage.</t>
  </si>
  <si>
    <t>Limited</t>
  </si>
  <si>
    <t>The data subject may face major inconveniences but can still manage to overcome them with some difficulty.</t>
  </si>
  <si>
    <t>Significant</t>
  </si>
  <si>
    <t>The data subjects may face major inconveniences that they might overcome, but it will be very difficult.</t>
  </si>
  <si>
    <t>Maximum</t>
  </si>
  <si>
    <t>The data subjects may face serious or even irreversible consequences that they might not be able to overcome.</t>
  </si>
  <si>
    <t>Unlikely</t>
  </si>
  <si>
    <t>Rare chance; not expected but possible.</t>
  </si>
  <si>
    <t>Possible</t>
  </si>
  <si>
    <t>Could happen sometimes.</t>
  </si>
  <si>
    <t>Likely</t>
  </si>
  <si>
    <t>Happens regularly or often.</t>
  </si>
  <si>
    <t>Almost Certain</t>
  </si>
  <si>
    <t>Expected to happen in most cases.</t>
  </si>
  <si>
    <t>PIA Sign-off</t>
  </si>
  <si>
    <t>Designation</t>
  </si>
  <si>
    <t>Name</t>
  </si>
  <si>
    <t>Date</t>
  </si>
  <si>
    <t>Signature</t>
  </si>
  <si>
    <t>Prepared By:</t>
  </si>
  <si>
    <t>&lt;System/Process Owner&gt;</t>
  </si>
  <si>
    <t>Reviewed By:</t>
  </si>
  <si>
    <t>&lt;Data Protection Officer/ Compliance Officer for Privacy&gt;</t>
  </si>
  <si>
    <t>Approved By:</t>
  </si>
  <si>
    <t>&lt;Group Head&gt;</t>
  </si>
  <si>
    <t>Name, Age</t>
  </si>
  <si>
    <t>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</si>
</sst>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sz val="11"/>
      <color theme="1"/>
      <name val="Arial"/>
      <family val="2"/>
    </font>
    <font>
      <i/>
      <sz val="11"/>
      <color theme="1"/>
      <name val="Arial"/>
      <family val="2"/>
    </font>
    <font>
      <b/>
      <sz val="11"/>
      <color theme="1"/>
      <name val="Arial"/>
      <family val="2"/>
    </font>
    <font>
      <b/>
      <sz val="14"/>
      <color theme="1"/>
      <name val="Arial"/>
      <family val="2"/>
    </font>
    <font>
      <sz val="9"/>
      <color theme="1"/>
      <name val="Arial"/>
      <family val="2"/>
    </font>
    <font>
      <sz val="10"/>
      <color rgb="FF000000"/>
      <name val="Arial"/>
      <family val="2"/>
    </font>
    <font>
      <sz val="11"/>
      <color theme="2" tint="-0.249977111117893"/>
      <name val="Arial"/>
      <family val="2"/>
    </font>
    <font>
      <sz val="26"/>
      <color rgb="FF000000"/>
      <name val="Arial"/>
      <family val="2"/>
    </font>
    <font>
      <sz val="26"/>
      <color theme="1"/>
      <name val="Arial"/>
      <family val="2"/>
    </font>
    <font>
      <sz val="11"/>
      <color rgb="FF000000"/>
      <name val="Arial"/>
      <family val="2"/>
    </font>
    <font>
      <sz val="11"/>
      <color theme="3" tint="0.249977111117893"/>
      <name val="Arial"/>
      <family val="2"/>
    </font>
    <font>
      <sz val="11"/>
      <color rgb="FF242424"/>
      <name val="Arial"/>
      <family val="2"/>
    </font>
    <font>
      <b/>
      <sz val="11"/>
      <color rgb="FF000000"/>
      <name val="Arial"/>
      <family val="2"/>
    </font>
    <font>
      <i/>
      <sz val="11"/>
      <color theme="1" tint="0.34998626667073579"/>
      <name val="Arial"/>
      <family val="2"/>
    </font>
    <font>
      <sz val="11"/>
      <color theme="0" tint="-0.34998626667073579"/>
      <name val="Arial"/>
      <family val="2"/>
    </font>
    <font>
      <b/>
      <sz val="14"/>
      <color rgb="FF000000"/>
      <name val="Arial"/>
      <family val="2"/>
    </font>
    <font>
      <sz val="11"/>
      <name val="Arial"/>
      <family val="2"/>
    </font>
    <font>
      <b/>
      <sz val="14"/>
      <name val="Arial"/>
      <family val="2"/>
    </font>
    <font>
      <i/>
      <sz val="11"/>
      <name val="Arial"/>
      <family val="2"/>
    </font>
    <font>
      <b/>
      <sz val="11"/>
      <name val="Arial"/>
      <family val="2"/>
    </font>
    <font>
      <i/>
      <sz val="11"/>
      <color rgb="FF000000"/>
      <name val="Arial"/>
      <family val="2"/>
    </font>
    <font>
      <sz val="11"/>
      <color theme="0"/>
      <name val="Arial"/>
      <family val="2"/>
    </font>
    <font>
      <sz val="14"/>
      <color rgb="FF000000"/>
      <name val="Arial"/>
      <family val="2"/>
    </font>
    <font>
      <i/>
      <sz val="14"/>
      <color rgb="FF000000"/>
      <name val="Arial"/>
      <family val="2"/>
    </font>
    <font>
      <sz val="14"/>
      <name val="Arial"/>
      <family val="2"/>
    </font>
    <font>
      <sz val="11"/>
      <color rgb="FFFF0000"/>
      <name val="Arial"/>
      <family val="2"/>
    </font>
    <font>
      <b/>
      <sz val="14"/>
      <color rgb="FFFF0000"/>
      <name val="Arial"/>
      <family val="2"/>
    </font>
    <font>
      <b/>
      <sz val="11"/>
      <color theme="0"/>
      <name val="Arial"/>
      <family val="2"/>
    </font>
    <font>
      <sz val="11"/>
      <color theme="1" tint="0.34998626667073579"/>
      <name val="Arial"/>
      <family val="2"/>
    </font>
    <font>
      <sz val="11"/>
      <color theme="1" tint="0.249977111117893"/>
      <name val="Arial"/>
      <family val="2"/>
    </font>
    <font>
      <sz val="11"/>
      <color theme="1" tint="0.14999847407452621"/>
      <name val="Arial"/>
      <family val="2"/>
    </font>
  </fonts>
  <fills count="17">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0"/>
        <bgColor indexed="64"/>
      </patternFill>
    </fill>
    <fill>
      <patternFill patternType="solid">
        <fgColor rgb="FFFF0000"/>
        <bgColor indexed="64"/>
      </patternFill>
    </fill>
    <fill>
      <patternFill patternType="solid">
        <fgColor rgb="FFDAE9F8"/>
        <bgColor rgb="FF000000"/>
      </patternFill>
    </fill>
    <fill>
      <patternFill patternType="solid">
        <fgColor rgb="FFF8FBFE"/>
        <bgColor indexed="64"/>
      </patternFill>
    </fill>
    <fill>
      <patternFill patternType="solid">
        <fgColor rgb="FFEAF2FA"/>
        <bgColor indexed="64"/>
      </patternFill>
    </fill>
    <fill>
      <patternFill patternType="solid">
        <fgColor theme="0" tint="-0.14999847407452621"/>
        <bgColor indexed="64"/>
      </patternFill>
    </fill>
    <fill>
      <patternFill patternType="solid">
        <fgColor rgb="FF002060"/>
        <bgColor indexed="64"/>
      </patternFill>
    </fill>
    <fill>
      <patternFill patternType="solid">
        <fgColor rgb="FFFFFFCC"/>
        <bgColor indexed="64"/>
      </patternFill>
    </fill>
    <fill>
      <patternFill patternType="solid">
        <fgColor rgb="FFFFCC66"/>
        <bgColor indexed="64"/>
      </patternFill>
    </fill>
    <fill>
      <patternFill patternType="solid">
        <fgColor rgb="FFC00000"/>
        <bgColor indexed="64"/>
      </patternFill>
    </fill>
    <fill>
      <patternFill patternType="solid">
        <fgColor rgb="FFFF6600"/>
        <bgColor indexed="64"/>
      </patternFill>
    </fill>
    <fill>
      <patternFill patternType="solid">
        <fgColor theme="9" tint="0.79998168889431442"/>
        <bgColor indexed="64"/>
      </patternFill>
    </fill>
  </fills>
  <borders count="74">
    <border>
      <left/>
      <right/>
      <top/>
      <bottom/>
      <diagonal/>
    </border>
    <border>
      <left style="thin">
        <color rgb="FF000000"/>
      </left>
      <right style="thin">
        <color rgb="FF000000"/>
      </right>
      <top style="thin">
        <color rgb="FF000000"/>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style="thin">
        <color theme="1" tint="0.499984740745262"/>
      </right>
      <top/>
      <bottom/>
      <diagonal/>
    </border>
    <border>
      <left/>
      <right/>
      <top style="thin">
        <color theme="1" tint="0.499984740745262"/>
      </top>
      <bottom style="thin">
        <color theme="1" tint="0.499984740745262"/>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top style="thin">
        <color rgb="FF808080"/>
      </top>
      <bottom/>
      <diagonal/>
    </border>
    <border>
      <left/>
      <right style="thin">
        <color rgb="FF808080"/>
      </right>
      <top style="thin">
        <color rgb="FF808080"/>
      </top>
      <bottom/>
      <diagonal/>
    </border>
    <border>
      <left/>
      <right/>
      <top style="thin">
        <color rgb="FF808080"/>
      </top>
      <bottom/>
      <diagonal/>
    </border>
    <border>
      <left/>
      <right style="thin">
        <color rgb="FF808080"/>
      </right>
      <top style="thin">
        <color rgb="FF808080"/>
      </top>
      <bottom style="thin">
        <color rgb="FF808080"/>
      </bottom>
      <diagonal/>
    </border>
    <border>
      <left/>
      <right/>
      <top style="thin">
        <color theme="1"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left>
      <right style="thin">
        <color theme="0" tint="-0.499984740745262"/>
      </right>
      <top style="thin">
        <color theme="0" tint="-0.499984740745262"/>
      </top>
      <bottom style="thin">
        <color theme="0" tint="-0.499984740745262"/>
      </bottom>
      <diagonal/>
    </border>
    <border>
      <left style="thin">
        <color theme="0"/>
      </left>
      <right/>
      <top style="thin">
        <color theme="0" tint="-0.499984740745262"/>
      </top>
      <bottom style="thin">
        <color theme="0" tint="-0.499984740745262"/>
      </bottom>
      <diagonal/>
    </border>
    <border>
      <left style="thin">
        <color theme="0" tint="-0.499984740745262"/>
      </left>
      <right/>
      <top style="thin">
        <color theme="1" tint="0.499984740745262"/>
      </top>
      <bottom style="thin">
        <color theme="1" tint="0.499984740745262"/>
      </bottom>
      <diagonal/>
    </border>
    <border>
      <left style="thin">
        <color theme="0" tint="-0.499984740745262"/>
      </left>
      <right style="thin">
        <color theme="0" tint="-0.499984740745262"/>
      </right>
      <top/>
      <bottom style="thin">
        <color theme="0" tint="-0.499984740745262"/>
      </bottom>
      <diagonal/>
    </border>
    <border>
      <left/>
      <right/>
      <top/>
      <bottom style="thin">
        <color theme="1"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2">
    <xf numFmtId="0" fontId="0" fillId="0" borderId="0"/>
    <xf numFmtId="0" fontId="1" fillId="0" borderId="0"/>
  </cellStyleXfs>
  <cellXfs count="507">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22" xfId="0" applyFont="1" applyBorder="1" applyAlignment="1">
      <alignment vertical="center"/>
    </xf>
    <xf numFmtId="0" fontId="1" fillId="8" borderId="22" xfId="0" applyFont="1" applyFill="1" applyBorder="1" applyAlignment="1">
      <alignment vertical="center"/>
    </xf>
    <xf numFmtId="0" fontId="1" fillId="9" borderId="31" xfId="0" applyFont="1" applyFill="1" applyBorder="1" applyAlignment="1">
      <alignment horizontal="center" vertical="center"/>
    </xf>
    <xf numFmtId="0" fontId="1" fillId="9" borderId="30" xfId="0" applyFont="1" applyFill="1" applyBorder="1" applyAlignment="1">
      <alignment horizontal="center" vertical="center"/>
    </xf>
    <xf numFmtId="0" fontId="5" fillId="0" borderId="31" xfId="0" applyFont="1" applyBorder="1" applyAlignment="1">
      <alignment horizontal="center" vertical="center"/>
    </xf>
    <xf numFmtId="0" fontId="1" fillId="4" borderId="22" xfId="0" applyFont="1" applyFill="1" applyBorder="1" applyAlignment="1">
      <alignment vertical="center"/>
    </xf>
    <xf numFmtId="0" fontId="1" fillId="4" borderId="33" xfId="0" applyFont="1" applyFill="1" applyBorder="1" applyAlignment="1">
      <alignment vertical="center"/>
    </xf>
    <xf numFmtId="0" fontId="1" fillId="0" borderId="33" xfId="0" applyFont="1" applyBorder="1" applyAlignment="1">
      <alignment vertical="center"/>
    </xf>
    <xf numFmtId="0" fontId="1" fillId="9" borderId="2" xfId="0" applyFont="1" applyFill="1" applyBorder="1" applyAlignment="1">
      <alignment vertical="center" wrapText="1"/>
    </xf>
    <xf numFmtId="0" fontId="1" fillId="0" borderId="2" xfId="0" applyFont="1" applyBorder="1" applyAlignment="1">
      <alignment horizontal="center" vertical="center"/>
    </xf>
    <xf numFmtId="0" fontId="1" fillId="9"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53" xfId="0" applyFont="1" applyBorder="1"/>
    <xf numFmtId="0" fontId="1" fillId="0" borderId="54" xfId="0" applyFont="1" applyBorder="1"/>
    <xf numFmtId="0" fontId="1" fillId="0" borderId="55" xfId="0" applyFont="1" applyBorder="1"/>
    <xf numFmtId="0" fontId="1" fillId="0" borderId="0" xfId="0" applyFont="1"/>
    <xf numFmtId="0" fontId="1" fillId="0" borderId="56" xfId="0" applyFont="1" applyBorder="1"/>
    <xf numFmtId="0" fontId="1" fillId="0" borderId="57" xfId="0" applyFont="1" applyBorder="1"/>
    <xf numFmtId="0" fontId="1" fillId="0" borderId="58" xfId="0" applyFont="1" applyBorder="1"/>
    <xf numFmtId="0" fontId="1" fillId="0" borderId="59" xfId="0" applyFont="1" applyBorder="1"/>
    <xf numFmtId="0" fontId="1" fillId="0" borderId="60" xfId="0" applyFont="1" applyBorder="1"/>
    <xf numFmtId="0" fontId="10" fillId="0" borderId="2" xfId="0" applyFont="1" applyBorder="1" applyAlignment="1">
      <alignment horizontal="center" vertical="center" wrapText="1"/>
    </xf>
    <xf numFmtId="0" fontId="4" fillId="3" borderId="2" xfId="0" applyFont="1" applyFill="1" applyBorder="1" applyAlignment="1">
      <alignment horizontal="center" vertical="center"/>
    </xf>
    <xf numFmtId="0" fontId="3" fillId="2" borderId="2" xfId="0" applyFont="1" applyFill="1" applyBorder="1" applyAlignment="1">
      <alignment horizontal="center"/>
    </xf>
    <xf numFmtId="0" fontId="1" fillId="4" borderId="2" xfId="0" applyFont="1" applyFill="1" applyBorder="1" applyAlignment="1">
      <alignment horizontal="center"/>
    </xf>
    <xf numFmtId="0" fontId="10" fillId="4" borderId="0" xfId="0" applyFont="1" applyFill="1" applyAlignment="1">
      <alignment wrapText="1"/>
    </xf>
    <xf numFmtId="0" fontId="1" fillId="0" borderId="2" xfId="0" applyFont="1" applyBorder="1" applyAlignment="1">
      <alignment horizontal="center"/>
    </xf>
    <xf numFmtId="0" fontId="1" fillId="0" borderId="2" xfId="0" applyFont="1" applyBorder="1"/>
    <xf numFmtId="0" fontId="1" fillId="4" borderId="2" xfId="0" applyFont="1" applyFill="1" applyBorder="1" applyAlignment="1">
      <alignment wrapText="1"/>
    </xf>
    <xf numFmtId="0" fontId="1" fillId="0" borderId="2" xfId="0" applyFont="1" applyBorder="1" applyAlignment="1">
      <alignment wrapText="1"/>
    </xf>
    <xf numFmtId="0" fontId="3" fillId="0" borderId="0" xfId="0" applyFont="1"/>
    <xf numFmtId="0" fontId="10" fillId="4" borderId="0" xfId="0" applyFont="1" applyFill="1"/>
    <xf numFmtId="0" fontId="1" fillId="4" borderId="2" xfId="0" applyFont="1" applyFill="1" applyBorder="1"/>
    <xf numFmtId="0" fontId="1" fillId="4" borderId="9" xfId="0" applyFont="1" applyFill="1" applyBorder="1" applyAlignment="1">
      <alignment horizontal="center"/>
    </xf>
    <xf numFmtId="0" fontId="1" fillId="4" borderId="9" xfId="0" applyFont="1" applyFill="1" applyBorder="1"/>
    <xf numFmtId="0" fontId="1" fillId="0" borderId="9" xfId="0" applyFont="1" applyBorder="1"/>
    <xf numFmtId="0" fontId="1" fillId="4" borderId="9" xfId="0" applyFont="1" applyFill="1" applyBorder="1" applyAlignment="1">
      <alignment wrapText="1"/>
    </xf>
    <xf numFmtId="0" fontId="1" fillId="0" borderId="0" xfId="0" applyFont="1" applyAlignment="1">
      <alignment horizontal="center"/>
    </xf>
    <xf numFmtId="0" fontId="3" fillId="2" borderId="1" xfId="0" applyFont="1"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wrapText="1"/>
    </xf>
    <xf numFmtId="0" fontId="1" fillId="0" borderId="0" xfId="0" applyFont="1" applyAlignment="1">
      <alignment wrapText="1"/>
    </xf>
    <xf numFmtId="0" fontId="3" fillId="2" borderId="3" xfId="0" applyFont="1" applyFill="1" applyBorder="1" applyAlignment="1">
      <alignment horizontal="center"/>
    </xf>
    <xf numFmtId="0" fontId="1" fillId="0" borderId="3" xfId="0" applyFont="1" applyBorder="1"/>
    <xf numFmtId="0" fontId="4" fillId="0" borderId="0" xfId="0" applyFont="1" applyAlignment="1">
      <alignment horizontal="center" vertical="center"/>
    </xf>
    <xf numFmtId="0" fontId="1" fillId="4" borderId="2" xfId="0" applyFont="1" applyFill="1" applyBorder="1" applyAlignment="1">
      <alignment vertical="center"/>
    </xf>
    <xf numFmtId="0" fontId="1" fillId="0" borderId="2" xfId="0" applyFont="1" applyBorder="1" applyAlignment="1">
      <alignment horizontal="left" vertical="center"/>
    </xf>
    <xf numFmtId="0" fontId="1" fillId="0" borderId="0" xfId="0" applyFont="1" applyAlignment="1">
      <alignment horizontal="left"/>
    </xf>
    <xf numFmtId="0" fontId="1" fillId="4" borderId="2" xfId="0" applyFont="1" applyFill="1" applyBorder="1" applyAlignment="1">
      <alignment horizontal="left" vertical="center"/>
    </xf>
    <xf numFmtId="0" fontId="1" fillId="0" borderId="2" xfId="0" applyFont="1" applyBorder="1" applyAlignment="1">
      <alignment horizontal="left" vertical="center" wrapText="1"/>
    </xf>
    <xf numFmtId="0" fontId="1" fillId="0" borderId="0" xfId="0" applyFont="1" applyAlignment="1">
      <alignment horizontal="left" wrapText="1"/>
    </xf>
    <xf numFmtId="0" fontId="1" fillId="4" borderId="5" xfId="0" applyFont="1" applyFill="1" applyBorder="1" applyAlignment="1">
      <alignment horizontal="center" vertical="center" wrapText="1"/>
    </xf>
    <xf numFmtId="0" fontId="10"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0" borderId="0" xfId="0" applyFont="1" applyAlignment="1">
      <alignment vertical="top" wrapText="1"/>
    </xf>
    <xf numFmtId="0" fontId="1"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8" xfId="0" applyFont="1" applyBorder="1" applyAlignment="1">
      <alignment horizontal="center" vertical="center" wrapText="1"/>
    </xf>
    <xf numFmtId="0" fontId="3" fillId="0" borderId="0" xfId="0" applyFont="1" applyAlignment="1">
      <alignment wrapText="1"/>
    </xf>
    <xf numFmtId="0" fontId="1" fillId="0" borderId="9" xfId="0" applyFont="1" applyBorder="1" applyAlignment="1">
      <alignment horizontal="center" vertical="center" wrapText="1"/>
    </xf>
    <xf numFmtId="0" fontId="11" fillId="0" borderId="0" xfId="0" applyFont="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6" xfId="0" applyFont="1" applyBorder="1" applyAlignment="1">
      <alignment horizontal="center" vertical="center" wrapText="1"/>
    </xf>
    <xf numFmtId="0" fontId="10" fillId="0" borderId="0" xfId="0" applyFont="1" applyAlignment="1">
      <alignment wrapText="1"/>
    </xf>
    <xf numFmtId="0" fontId="1" fillId="0" borderId="9"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0" fillId="7" borderId="9" xfId="0" applyFont="1" applyFill="1" applyBorder="1" applyAlignment="1">
      <alignment horizontal="center"/>
    </xf>
    <xf numFmtId="0" fontId="10" fillId="0" borderId="2" xfId="0" applyFont="1" applyBorder="1"/>
    <xf numFmtId="0" fontId="10" fillId="7" borderId="2" xfId="0" applyFont="1" applyFill="1" applyBorder="1" applyAlignment="1">
      <alignment horizontal="center"/>
    </xf>
    <xf numFmtId="0" fontId="1" fillId="0" borderId="2" xfId="0" applyFont="1" applyBorder="1" applyAlignment="1">
      <alignment vertical="center"/>
    </xf>
    <xf numFmtId="0" fontId="1" fillId="4" borderId="3" xfId="0" applyFont="1" applyFill="1" applyBorder="1" applyAlignment="1">
      <alignment horizontal="center" vertical="center"/>
    </xf>
    <xf numFmtId="0" fontId="1" fillId="4" borderId="2" xfId="0" applyFont="1" applyFill="1" applyBorder="1" applyAlignment="1">
      <alignment horizontal="center" vertical="center"/>
    </xf>
    <xf numFmtId="0" fontId="1" fillId="5" borderId="0" xfId="0" applyFont="1" applyFill="1" applyAlignment="1">
      <alignment wrapText="1"/>
    </xf>
    <xf numFmtId="0" fontId="1" fillId="0" borderId="3" xfId="0" applyFont="1" applyBorder="1" applyAlignment="1">
      <alignment vertical="center"/>
    </xf>
    <xf numFmtId="0" fontId="1" fillId="0" borderId="3" xfId="0" applyFont="1" applyBorder="1" applyAlignment="1">
      <alignment horizontal="center" vertical="center" wrapText="1"/>
    </xf>
    <xf numFmtId="0" fontId="1" fillId="0" borderId="11"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horizontal="center" vertical="center"/>
    </xf>
    <xf numFmtId="0" fontId="1" fillId="10" borderId="2" xfId="0" applyFont="1" applyFill="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3" fillId="2" borderId="3" xfId="0" applyFont="1" applyFill="1" applyBorder="1" applyAlignment="1">
      <alignment vertical="center"/>
    </xf>
    <xf numFmtId="0" fontId="13" fillId="2" borderId="14" xfId="0" applyFont="1" applyFill="1" applyBorder="1" applyAlignment="1">
      <alignment vertical="center"/>
    </xf>
    <xf numFmtId="0" fontId="13" fillId="2" borderId="34" xfId="0" applyFont="1" applyFill="1" applyBorder="1" applyAlignment="1">
      <alignment vertical="center"/>
    </xf>
    <xf numFmtId="0" fontId="13" fillId="2" borderId="0" xfId="0" applyFont="1" applyFill="1" applyAlignment="1">
      <alignment vertical="center"/>
    </xf>
    <xf numFmtId="0" fontId="13" fillId="2" borderId="8" xfId="0" applyFont="1" applyFill="1" applyBorder="1" applyAlignment="1">
      <alignment vertical="center"/>
    </xf>
    <xf numFmtId="0" fontId="1" fillId="4" borderId="5"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15" fillId="0" borderId="0" xfId="0" applyFont="1" applyAlignment="1">
      <alignment horizontal="left" vertical="center" wrapText="1"/>
    </xf>
    <xf numFmtId="0" fontId="3" fillId="2" borderId="2" xfId="0" applyFont="1" applyFill="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1" fillId="0" borderId="2" xfId="0" applyFont="1" applyBorder="1" applyAlignment="1">
      <alignment vertical="center" wrapText="1"/>
    </xf>
    <xf numFmtId="0" fontId="13" fillId="2" borderId="2" xfId="0" applyFont="1" applyFill="1" applyBorder="1" applyAlignment="1">
      <alignment horizontal="center" vertical="center" wrapText="1"/>
    </xf>
    <xf numFmtId="0" fontId="10" fillId="4" borderId="2" xfId="0" applyFont="1" applyFill="1" applyBorder="1" applyAlignment="1">
      <alignment horizontal="center" vertical="center" wrapText="1" readingOrder="1"/>
    </xf>
    <xf numFmtId="0" fontId="17" fillId="0" borderId="2" xfId="0" applyFont="1" applyBorder="1" applyAlignment="1">
      <alignment horizontal="center" vertical="center" wrapText="1"/>
    </xf>
    <xf numFmtId="0" fontId="17" fillId="0" borderId="2" xfId="0" applyFont="1" applyBorder="1" applyAlignment="1">
      <alignment vertical="center" wrapText="1"/>
    </xf>
    <xf numFmtId="0" fontId="1" fillId="0" borderId="2" xfId="0" applyFont="1" applyBorder="1" applyAlignment="1">
      <alignment horizontal="center" vertical="center"/>
      <extLst>
        <ext xmlns:xfpb="http://schemas.microsoft.com/office/spreadsheetml/2022/featurepropertybag" uri="{C7286773-470A-42A8-94C5-96B5CB345126}">
          <xfpb:xfComplement i="0"/>
        </ext>
      </extLst>
    </xf>
    <xf numFmtId="49" fontId="1" fillId="0" borderId="2" xfId="0" applyNumberFormat="1" applyFont="1" applyBorder="1" applyAlignment="1">
      <alignment horizontal="center" vertical="center"/>
    </xf>
    <xf numFmtId="0" fontId="20" fillId="2" borderId="2" xfId="0" applyFont="1" applyFill="1" applyBorder="1" applyAlignment="1">
      <alignment horizontal="center" vertical="center" wrapText="1"/>
    </xf>
    <xf numFmtId="0" fontId="10" fillId="0" borderId="0" xfId="0" applyFont="1" applyAlignment="1">
      <alignment horizontal="center" vertical="center" wrapText="1"/>
    </xf>
    <xf numFmtId="0" fontId="1" fillId="0" borderId="10" xfId="0" applyFont="1" applyBorder="1" applyAlignment="1">
      <alignment vertical="center" wrapText="1"/>
    </xf>
    <xf numFmtId="0" fontId="1" fillId="0" borderId="9" xfId="0" applyFont="1" applyBorder="1" applyAlignment="1">
      <alignment horizontal="left" vertical="center" wrapText="1"/>
    </xf>
    <xf numFmtId="0" fontId="1" fillId="0" borderId="1" xfId="0" applyFont="1" applyBorder="1" applyAlignment="1">
      <alignment vertical="center" wrapText="1"/>
    </xf>
    <xf numFmtId="0" fontId="22" fillId="0" borderId="0" xfId="0" applyFont="1" applyAlignment="1">
      <alignment vertical="center" wrapText="1"/>
    </xf>
    <xf numFmtId="0" fontId="17" fillId="4" borderId="2" xfId="0" applyFont="1" applyFill="1" applyBorder="1" applyAlignment="1">
      <alignment horizontal="center" vertical="center" wrapText="1"/>
    </xf>
    <xf numFmtId="0" fontId="10" fillId="4" borderId="10" xfId="0" applyFont="1" applyFill="1" applyBorder="1" applyAlignment="1">
      <alignment horizontal="center" vertical="center" wrapText="1" readingOrder="1"/>
    </xf>
    <xf numFmtId="0" fontId="1" fillId="0" borderId="10" xfId="0" applyFont="1" applyBorder="1" applyAlignment="1">
      <alignment vertical="center"/>
    </xf>
    <xf numFmtId="0" fontId="17" fillId="0" borderId="3" xfId="0" applyFont="1" applyBorder="1" applyAlignment="1">
      <alignment vertical="center" wrapText="1"/>
    </xf>
    <xf numFmtId="0" fontId="10" fillId="4" borderId="5" xfId="0" applyFont="1" applyFill="1" applyBorder="1" applyAlignment="1">
      <alignment horizontal="center" vertical="center" wrapText="1" readingOrder="1"/>
    </xf>
    <xf numFmtId="0" fontId="17" fillId="0" borderId="2" xfId="0" applyFont="1" applyBorder="1" applyAlignment="1">
      <alignment horizontal="left" vertical="center" wrapText="1"/>
    </xf>
    <xf numFmtId="0" fontId="1" fillId="0" borderId="13" xfId="0" applyFont="1" applyBorder="1" applyAlignment="1">
      <alignment vertical="center"/>
    </xf>
    <xf numFmtId="0" fontId="1" fillId="0" borderId="7" xfId="0" applyFont="1" applyBorder="1" applyAlignment="1">
      <alignment vertical="center"/>
    </xf>
    <xf numFmtId="0" fontId="22" fillId="0" borderId="0" xfId="0" applyFont="1" applyAlignment="1">
      <alignment wrapText="1"/>
    </xf>
    <xf numFmtId="0" fontId="10" fillId="4" borderId="13" xfId="0" applyFont="1" applyFill="1" applyBorder="1" applyAlignment="1">
      <alignment horizontal="center" vertical="center" wrapText="1" readingOrder="1"/>
    </xf>
    <xf numFmtId="0" fontId="10" fillId="0" borderId="14" xfId="0" applyFont="1" applyBorder="1" applyAlignment="1">
      <alignment vertical="center" wrapText="1"/>
    </xf>
    <xf numFmtId="0" fontId="22" fillId="0" borderId="0" xfId="0" applyFont="1"/>
    <xf numFmtId="0" fontId="20" fillId="0" borderId="2" xfId="0" applyFont="1" applyBorder="1" applyAlignment="1">
      <alignment vertical="center" wrapText="1"/>
    </xf>
    <xf numFmtId="0" fontId="1" fillId="0" borderId="9" xfId="0" applyFont="1" applyBorder="1" applyAlignment="1">
      <alignment vertical="center"/>
    </xf>
    <xf numFmtId="0" fontId="17" fillId="0" borderId="14" xfId="0" applyFont="1" applyBorder="1" applyAlignment="1">
      <alignment vertical="center" wrapText="1"/>
    </xf>
    <xf numFmtId="0" fontId="1" fillId="0" borderId="0" xfId="0" applyFont="1" applyAlignment="1">
      <alignment horizontal="left" vertical="center" wrapText="1"/>
    </xf>
    <xf numFmtId="1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52" xfId="0" applyFont="1" applyBorder="1" applyAlignment="1">
      <alignment horizontal="left" vertical="center" wrapText="1"/>
    </xf>
    <xf numFmtId="0" fontId="1" fillId="0" borderId="52" xfId="0" applyFont="1" applyBorder="1" applyAlignment="1">
      <alignment horizontal="center" vertical="center" wrapText="1"/>
    </xf>
    <xf numFmtId="1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14" fontId="4" fillId="3" borderId="2" xfId="0" applyNumberFormat="1" applyFont="1" applyFill="1" applyBorder="1" applyAlignment="1">
      <alignment horizontal="center" vertical="center" wrapText="1"/>
    </xf>
    <xf numFmtId="0" fontId="13" fillId="2" borderId="9" xfId="0" applyFont="1" applyFill="1" applyBorder="1" applyAlignment="1">
      <alignment horizontal="center" vertical="center" wrapText="1"/>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9" xfId="0" applyFont="1" applyFill="1" applyBorder="1" applyAlignment="1">
      <alignment vertical="center"/>
    </xf>
    <xf numFmtId="0" fontId="1" fillId="0" borderId="27" xfId="0" applyFont="1" applyBorder="1"/>
    <xf numFmtId="0" fontId="10" fillId="4" borderId="27" xfId="0" applyFont="1" applyFill="1" applyBorder="1" applyAlignment="1">
      <alignment horizontal="center" vertical="center" wrapText="1" readingOrder="1"/>
    </xf>
    <xf numFmtId="0" fontId="17" fillId="0" borderId="27" xfId="0" applyFont="1" applyBorder="1" applyAlignment="1">
      <alignment horizontal="center" vertical="center" wrapText="1"/>
    </xf>
    <xf numFmtId="0" fontId="17" fillId="0" borderId="27" xfId="0" applyFont="1" applyBorder="1" applyAlignment="1">
      <alignment vertical="center" wrapText="1"/>
    </xf>
    <xf numFmtId="0" fontId="1" fillId="0" borderId="27" xfId="0" applyFont="1" applyBorder="1" applyAlignment="1">
      <alignment horizontal="center" vertical="center" wrapText="1"/>
    </xf>
    <xf numFmtId="0" fontId="1" fillId="0" borderId="27" xfId="0" applyFont="1" applyBorder="1" applyAlignment="1">
      <alignment horizontal="center" vertical="center"/>
    </xf>
    <xf numFmtId="0" fontId="1" fillId="0" borderId="27" xfId="0" applyFont="1" applyBorder="1" applyAlignment="1">
      <alignment vertical="center"/>
    </xf>
    <xf numFmtId="0" fontId="1" fillId="0" borderId="27" xfId="0" applyFont="1" applyBorder="1" applyAlignment="1">
      <alignment vertical="center" wrapText="1"/>
    </xf>
    <xf numFmtId="0" fontId="1" fillId="0" borderId="27" xfId="0" applyFont="1" applyBorder="1" applyAlignment="1">
      <alignment horizontal="left" vertical="center"/>
    </xf>
    <xf numFmtId="0" fontId="1" fillId="0" borderId="27" xfId="0" applyFont="1" applyBorder="1" applyAlignment="1">
      <alignment horizontal="left" vertical="center" wrapText="1"/>
    </xf>
    <xf numFmtId="0" fontId="10" fillId="0" borderId="27" xfId="0" applyFont="1" applyBorder="1" applyAlignment="1">
      <alignment vertical="center"/>
    </xf>
    <xf numFmtId="0" fontId="20" fillId="2" borderId="27" xfId="0" applyFont="1" applyFill="1" applyBorder="1" applyAlignment="1">
      <alignment horizontal="center" vertical="center" wrapText="1"/>
    </xf>
    <xf numFmtId="0" fontId="3" fillId="2" borderId="27"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7" xfId="0" applyFont="1" applyFill="1" applyBorder="1" applyAlignment="1">
      <alignment horizontal="center" vertical="center" wrapText="1"/>
    </xf>
    <xf numFmtId="0" fontId="1" fillId="2" borderId="27" xfId="0" applyFont="1" applyFill="1" applyBorder="1" applyAlignment="1">
      <alignment vertical="center"/>
    </xf>
    <xf numFmtId="0" fontId="10" fillId="0" borderId="27" xfId="0" applyFont="1" applyBorder="1" applyAlignment="1">
      <alignment horizontal="center" vertical="center" wrapText="1"/>
    </xf>
    <xf numFmtId="0" fontId="1" fillId="3" borderId="27" xfId="0" applyFont="1" applyFill="1" applyBorder="1"/>
    <xf numFmtId="0" fontId="3" fillId="2" borderId="27" xfId="0" applyFont="1" applyFill="1" applyBorder="1" applyAlignment="1">
      <alignment horizontal="center" vertical="center" wrapText="1"/>
    </xf>
    <xf numFmtId="0" fontId="3" fillId="2" borderId="27" xfId="0" applyFont="1" applyFill="1" applyBorder="1" applyAlignment="1">
      <alignment vertical="center"/>
    </xf>
    <xf numFmtId="0" fontId="17" fillId="0" borderId="27" xfId="0" applyFont="1" applyBorder="1" applyAlignment="1">
      <alignment horizontal="left" vertical="center" wrapText="1"/>
    </xf>
    <xf numFmtId="0" fontId="13" fillId="2" borderId="27" xfId="0" applyFont="1" applyFill="1" applyBorder="1" applyAlignment="1">
      <alignment horizontal="center" vertical="center" wrapText="1"/>
    </xf>
    <xf numFmtId="0" fontId="1" fillId="0" borderId="27" xfId="0" applyFont="1" applyBorder="1" applyAlignment="1">
      <alignment horizontal="center"/>
    </xf>
    <xf numFmtId="0" fontId="28" fillId="0" borderId="0" xfId="0" applyFont="1" applyAlignment="1">
      <alignment horizontal="center" vertical="center"/>
    </xf>
    <xf numFmtId="2" fontId="1" fillId="0" borderId="0" xfId="0" applyNumberFormat="1" applyFont="1" applyAlignment="1">
      <alignment horizontal="center" vertical="center"/>
    </xf>
    <xf numFmtId="0" fontId="3" fillId="0" borderId="0" xfId="0" applyFont="1" applyAlignment="1">
      <alignment horizontal="center"/>
    </xf>
    <xf numFmtId="16" fontId="1" fillId="0" borderId="0" xfId="0" applyNumberFormat="1" applyFont="1"/>
    <xf numFmtId="0" fontId="29" fillId="12" borderId="35" xfId="0" applyFont="1" applyFill="1" applyBorder="1" applyAlignment="1">
      <alignment vertical="top"/>
    </xf>
    <xf numFmtId="0" fontId="29" fillId="13" borderId="36" xfId="0" applyFont="1" applyFill="1" applyBorder="1" applyAlignment="1">
      <alignment vertical="top"/>
    </xf>
    <xf numFmtId="0" fontId="30" fillId="6" borderId="36" xfId="0" applyFont="1" applyFill="1" applyBorder="1" applyAlignment="1">
      <alignment vertical="top"/>
    </xf>
    <xf numFmtId="0" fontId="31" fillId="14" borderId="37" xfId="0" applyFont="1" applyFill="1" applyBorder="1" applyAlignment="1">
      <alignment vertical="top"/>
    </xf>
    <xf numFmtId="0" fontId="29" fillId="12" borderId="38" xfId="0" applyFont="1" applyFill="1" applyBorder="1" applyAlignment="1">
      <alignment vertical="top"/>
    </xf>
    <xf numFmtId="0" fontId="29" fillId="13" borderId="27" xfId="0" applyFont="1" applyFill="1" applyBorder="1" applyAlignment="1">
      <alignment vertical="top"/>
    </xf>
    <xf numFmtId="0" fontId="29" fillId="15" borderId="27" xfId="0" applyFont="1" applyFill="1" applyBorder="1" applyAlignment="1">
      <alignment vertical="top"/>
    </xf>
    <xf numFmtId="0" fontId="30" fillId="6" borderId="39" xfId="0" applyFont="1" applyFill="1" applyBorder="1" applyAlignment="1">
      <alignment vertical="top"/>
    </xf>
    <xf numFmtId="0" fontId="29" fillId="12" borderId="27" xfId="0" applyFont="1" applyFill="1" applyBorder="1" applyAlignment="1">
      <alignment vertical="top"/>
    </xf>
    <xf numFmtId="0" fontId="29" fillId="13" borderId="39" xfId="0" applyFont="1" applyFill="1" applyBorder="1" applyAlignment="1">
      <alignment vertical="top"/>
    </xf>
    <xf numFmtId="0" fontId="29" fillId="16" borderId="40" xfId="0" applyFont="1" applyFill="1" applyBorder="1" applyAlignment="1">
      <alignment vertical="top"/>
    </xf>
    <xf numFmtId="0" fontId="29" fillId="12" borderId="41" xfId="0" applyFont="1" applyFill="1" applyBorder="1" applyAlignment="1">
      <alignment vertical="top"/>
    </xf>
    <xf numFmtId="0" fontId="29" fillId="12" borderId="42" xfId="0" applyFont="1" applyFill="1" applyBorder="1" applyAlignment="1">
      <alignment vertical="top"/>
    </xf>
    <xf numFmtId="0" fontId="1" fillId="0" borderId="0" xfId="0" applyFont="1" applyAlignment="1">
      <alignment horizontal="center" vertical="top"/>
    </xf>
    <xf numFmtId="0" fontId="1" fillId="2" borderId="1" xfId="0" applyFont="1" applyFill="1" applyBorder="1"/>
    <xf numFmtId="0" fontId="3" fillId="0" borderId="1" xfId="0" applyFont="1" applyBorder="1" applyAlignment="1">
      <alignment horizontal="center" vertical="center"/>
    </xf>
    <xf numFmtId="0" fontId="3" fillId="2" borderId="1" xfId="0" applyFont="1" applyFill="1" applyBorder="1" applyAlignment="1">
      <alignment vertical="center"/>
    </xf>
    <xf numFmtId="0" fontId="1" fillId="0" borderId="1" xfId="0" applyFont="1" applyBorder="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7" fillId="0" borderId="0" xfId="0" applyFont="1" applyAlignment="1">
      <alignment horizontal="center" vertical="center"/>
    </xf>
    <xf numFmtId="0" fontId="1" fillId="2" borderId="61" xfId="0" applyFont="1" applyFill="1" applyBorder="1" applyAlignment="1">
      <alignment horizontal="left"/>
    </xf>
    <xf numFmtId="0" fontId="1" fillId="2" borderId="62" xfId="0" applyFont="1" applyFill="1" applyBorder="1" applyAlignment="1">
      <alignment horizontal="left"/>
    </xf>
    <xf numFmtId="0" fontId="1" fillId="2" borderId="63" xfId="0" applyFont="1" applyFill="1" applyBorder="1" applyAlignment="1">
      <alignment horizontal="left"/>
    </xf>
    <xf numFmtId="0" fontId="1" fillId="2" borderId="51" xfId="0" applyFont="1" applyFill="1" applyBorder="1" applyAlignment="1">
      <alignment horizontal="left"/>
    </xf>
    <xf numFmtId="0" fontId="1" fillId="2" borderId="64" xfId="0" applyFont="1" applyFill="1" applyBorder="1" applyAlignment="1">
      <alignment horizontal="left"/>
    </xf>
    <xf numFmtId="0" fontId="1" fillId="2" borderId="65" xfId="0" applyFont="1" applyFill="1" applyBorder="1" applyAlignment="1">
      <alignment horizontal="left"/>
    </xf>
    <xf numFmtId="0" fontId="1" fillId="0" borderId="66" xfId="0" applyFont="1" applyBorder="1" applyAlignment="1">
      <alignment horizontal="center"/>
    </xf>
    <xf numFmtId="0" fontId="1" fillId="0" borderId="67" xfId="0" applyFont="1" applyBorder="1" applyAlignment="1">
      <alignment horizontal="center"/>
    </xf>
    <xf numFmtId="0" fontId="1" fillId="0" borderId="68" xfId="0" applyFont="1" applyBorder="1" applyAlignment="1">
      <alignment horizontal="center"/>
    </xf>
    <xf numFmtId="0" fontId="1" fillId="0" borderId="50" xfId="0" applyFont="1" applyBorder="1" applyAlignment="1">
      <alignment horizontal="center"/>
    </xf>
    <xf numFmtId="0" fontId="1" fillId="0" borderId="69" xfId="0" applyFont="1" applyBorder="1" applyAlignment="1">
      <alignment horizontal="center"/>
    </xf>
    <xf numFmtId="0" fontId="1" fillId="0" borderId="70" xfId="0" applyFont="1" applyBorder="1" applyAlignment="1">
      <alignment horizontal="center"/>
    </xf>
    <xf numFmtId="0" fontId="1" fillId="0" borderId="71" xfId="0" applyFont="1" applyBorder="1" applyAlignment="1">
      <alignment horizontal="center"/>
    </xf>
    <xf numFmtId="0" fontId="1" fillId="0" borderId="72" xfId="0" applyFont="1" applyBorder="1" applyAlignment="1">
      <alignment horizontal="center"/>
    </xf>
    <xf numFmtId="0" fontId="1" fillId="0" borderId="73" xfId="0" applyFont="1" applyBorder="1" applyAlignment="1">
      <alignment horizontal="center"/>
    </xf>
    <xf numFmtId="0" fontId="2" fillId="0" borderId="22" xfId="0" applyFont="1" applyBorder="1" applyAlignment="1">
      <alignment horizontal="left" vertical="center"/>
    </xf>
    <xf numFmtId="0" fontId="1" fillId="8" borderId="22" xfId="0" applyFont="1" applyFill="1" applyBorder="1" applyAlignment="1">
      <alignment horizontal="left" vertical="center"/>
    </xf>
    <xf numFmtId="0" fontId="1" fillId="0" borderId="22" xfId="0" applyFont="1" applyBorder="1" applyAlignment="1">
      <alignment horizontal="left" vertical="center"/>
    </xf>
    <xf numFmtId="0" fontId="1" fillId="9" borderId="22" xfId="0" applyFont="1" applyFill="1" applyBorder="1" applyAlignment="1">
      <alignment horizontal="left" vertical="center"/>
    </xf>
    <xf numFmtId="0" fontId="1" fillId="9" borderId="28" xfId="0" applyFont="1" applyFill="1" applyBorder="1" applyAlignment="1">
      <alignment horizontal="left" vertical="center"/>
    </xf>
    <xf numFmtId="0" fontId="1" fillId="0" borderId="24" xfId="0" applyFont="1" applyBorder="1" applyAlignment="1">
      <alignment horizontal="center" vertical="center"/>
    </xf>
    <xf numFmtId="0" fontId="1" fillId="0" borderId="23" xfId="0" applyFont="1" applyBorder="1" applyAlignment="1">
      <alignment horizontal="center" vertical="center"/>
    </xf>
    <xf numFmtId="0" fontId="3" fillId="2" borderId="22" xfId="0" applyFont="1" applyFill="1" applyBorder="1" applyAlignment="1">
      <alignment horizontal="left" vertical="center"/>
    </xf>
    <xf numFmtId="0" fontId="1" fillId="0" borderId="22" xfId="0" applyFont="1" applyBorder="1" applyAlignment="1">
      <alignment horizontal="center" vertical="center"/>
    </xf>
    <xf numFmtId="0" fontId="1" fillId="0" borderId="23" xfId="0" applyFont="1" applyBorder="1" applyAlignment="1">
      <alignment horizontal="left" vertical="center"/>
    </xf>
    <xf numFmtId="0" fontId="1" fillId="0" borderId="25" xfId="0" applyFont="1" applyBorder="1" applyAlignment="1">
      <alignment horizontal="left" vertical="center"/>
    </xf>
    <xf numFmtId="0" fontId="1" fillId="0" borderId="24" xfId="0" applyFont="1" applyBorder="1" applyAlignment="1">
      <alignment horizontal="left" vertical="center"/>
    </xf>
    <xf numFmtId="0" fontId="1" fillId="0" borderId="23"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4" xfId="0" applyFont="1" applyBorder="1" applyAlignment="1">
      <alignment horizontal="center" vertical="center" wrapText="1"/>
    </xf>
    <xf numFmtId="0" fontId="4" fillId="3" borderId="29" xfId="0" applyFont="1" applyFill="1" applyBorder="1" applyAlignment="1">
      <alignment horizontal="center" vertical="center"/>
    </xf>
    <xf numFmtId="0" fontId="1" fillId="8" borderId="22" xfId="0" applyFont="1" applyFill="1" applyBorder="1" applyAlignment="1">
      <alignment horizontal="left" vertical="center" wrapText="1"/>
    </xf>
    <xf numFmtId="0" fontId="3" fillId="2" borderId="2" xfId="0" applyFont="1" applyFill="1" applyBorder="1" applyAlignment="1">
      <alignment horizontal="left" vertical="center" wrapText="1"/>
    </xf>
    <xf numFmtId="0" fontId="1" fillId="0" borderId="2" xfId="0" applyFont="1" applyBorder="1" applyAlignment="1">
      <alignment horizontal="center" vertical="center"/>
    </xf>
    <xf numFmtId="0" fontId="5" fillId="0" borderId="22" xfId="0" applyFont="1" applyBorder="1" applyAlignment="1">
      <alignment horizontal="left" vertical="center" wrapText="1"/>
    </xf>
    <xf numFmtId="0" fontId="5" fillId="0" borderId="22" xfId="0" applyFont="1" applyBorder="1" applyAlignment="1">
      <alignment horizontal="left" vertical="center"/>
    </xf>
    <xf numFmtId="0" fontId="1" fillId="9" borderId="2" xfId="0" applyFont="1" applyFill="1" applyBorder="1" applyAlignment="1">
      <alignment horizontal="left" vertical="center"/>
    </xf>
    <xf numFmtId="0" fontId="2" fillId="9" borderId="22" xfId="0" applyFont="1" applyFill="1" applyBorder="1" applyAlignment="1">
      <alignment horizontal="left" vertical="center"/>
    </xf>
    <xf numFmtId="0" fontId="1" fillId="0" borderId="33" xfId="0" applyFont="1" applyBorder="1" applyAlignment="1">
      <alignment horizontal="left" vertical="center"/>
    </xf>
    <xf numFmtId="0" fontId="1" fillId="0" borderId="2" xfId="0" applyFont="1" applyBorder="1" applyAlignment="1">
      <alignment horizontal="center" vertical="center" wrapText="1"/>
    </xf>
    <xf numFmtId="0" fontId="4" fillId="3" borderId="2" xfId="0" applyFont="1" applyFill="1" applyBorder="1" applyAlignment="1">
      <alignment horizontal="center" vertical="center"/>
    </xf>
    <xf numFmtId="0" fontId="4" fillId="3" borderId="9" xfId="0" applyFont="1" applyFill="1" applyBorder="1" applyAlignment="1">
      <alignment horizontal="center" vertical="center"/>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10" borderId="3" xfId="0" applyFont="1" applyFill="1" applyBorder="1" applyAlignment="1">
      <alignment horizontal="center" vertical="center"/>
    </xf>
    <xf numFmtId="0" fontId="1" fillId="10" borderId="4"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4" borderId="2" xfId="0" applyFont="1" applyFill="1" applyBorder="1" applyAlignment="1">
      <alignment horizontal="center" vertical="center"/>
    </xf>
    <xf numFmtId="0" fontId="3" fillId="2" borderId="10" xfId="0" applyFont="1" applyFill="1" applyBorder="1" applyAlignment="1">
      <alignment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10" borderId="7" xfId="0" applyFont="1" applyFill="1" applyBorder="1" applyAlignment="1">
      <alignment horizontal="center" vertical="center"/>
    </xf>
    <xf numFmtId="0" fontId="1" fillId="10" borderId="8" xfId="0" applyFont="1" applyFill="1" applyBorder="1" applyAlignment="1">
      <alignment horizontal="center" vertical="center"/>
    </xf>
    <xf numFmtId="0" fontId="1" fillId="0" borderId="5" xfId="0" applyFont="1" applyBorder="1" applyAlignment="1">
      <alignment horizontal="center" vertical="center"/>
    </xf>
    <xf numFmtId="0" fontId="1" fillId="0" borderId="21"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3" fillId="0" borderId="10" xfId="0" applyFont="1" applyBorder="1" applyAlignment="1">
      <alignment horizontal="center" vertical="center"/>
    </xf>
    <xf numFmtId="0" fontId="3" fillId="0" borderId="2" xfId="0" applyFont="1" applyBorder="1" applyAlignment="1">
      <alignment horizontal="center" vertical="center"/>
    </xf>
    <xf numFmtId="0" fontId="10" fillId="4" borderId="2" xfId="0" applyFont="1" applyFill="1" applyBorder="1" applyAlignment="1">
      <alignment horizontal="center" vertical="center" wrapText="1"/>
    </xf>
    <xf numFmtId="0" fontId="1" fillId="4" borderId="14" xfId="0" applyFont="1" applyFill="1" applyBorder="1" applyAlignment="1">
      <alignment horizontal="center" vertical="center"/>
    </xf>
    <xf numFmtId="0" fontId="1" fillId="0" borderId="14" xfId="0" applyFont="1" applyBorder="1" applyAlignment="1">
      <alignment horizontal="center" vertical="center"/>
    </xf>
    <xf numFmtId="0" fontId="1" fillId="9" borderId="2" xfId="0" applyFont="1" applyFill="1" applyBorder="1" applyAlignment="1">
      <alignment horizontal="left"/>
    </xf>
    <xf numFmtId="0" fontId="1" fillId="0" borderId="2" xfId="0" applyFont="1" applyBorder="1" applyAlignment="1">
      <alignment horizontal="left" vertical="center"/>
    </xf>
    <xf numFmtId="0" fontId="1" fillId="4" borderId="2" xfId="0" applyFont="1" applyFill="1" applyBorder="1" applyAlignment="1">
      <alignment vertical="center"/>
    </xf>
    <xf numFmtId="0" fontId="1" fillId="4" borderId="2" xfId="0" applyFont="1" applyFill="1" applyBorder="1" applyAlignment="1">
      <alignment vertical="center" wrapText="1"/>
    </xf>
    <xf numFmtId="0" fontId="1" fillId="4" borderId="10" xfId="0" applyFont="1" applyFill="1" applyBorder="1" applyAlignment="1">
      <alignment horizontal="left" vertical="center" wrapText="1"/>
    </xf>
    <xf numFmtId="0" fontId="1" fillId="0" borderId="9" xfId="0" applyFont="1" applyBorder="1" applyAlignment="1">
      <alignment horizontal="left" vertical="center"/>
    </xf>
    <xf numFmtId="0" fontId="1" fillId="4" borderId="9" xfId="0" applyFont="1" applyFill="1" applyBorder="1" applyAlignment="1">
      <alignment vertical="center"/>
    </xf>
    <xf numFmtId="0" fontId="1" fillId="4" borderId="2" xfId="0" applyFont="1" applyFill="1" applyBorder="1" applyAlignment="1">
      <alignment horizontal="left" vertical="center"/>
    </xf>
    <xf numFmtId="0" fontId="1" fillId="0" borderId="9" xfId="0" applyFont="1" applyBorder="1" applyAlignment="1">
      <alignment vertical="center" wrapText="1"/>
    </xf>
    <xf numFmtId="0" fontId="1" fillId="4" borderId="5" xfId="0" applyFont="1" applyFill="1" applyBorder="1" applyAlignment="1">
      <alignment horizontal="left" vertical="center"/>
    </xf>
    <xf numFmtId="0" fontId="1" fillId="4" borderId="6" xfId="0" applyFont="1" applyFill="1" applyBorder="1" applyAlignment="1">
      <alignment horizontal="left" vertical="center"/>
    </xf>
    <xf numFmtId="0" fontId="1" fillId="4" borderId="21" xfId="0" applyFont="1" applyFill="1" applyBorder="1" applyAlignment="1">
      <alignment horizontal="left" vertical="center"/>
    </xf>
    <xf numFmtId="0" fontId="1" fillId="0" borderId="2" xfId="0" applyFont="1" applyBorder="1" applyAlignment="1">
      <alignment horizontal="left" vertical="center" wrapText="1"/>
    </xf>
    <xf numFmtId="0" fontId="12" fillId="0" borderId="5" xfId="0" applyFont="1" applyBorder="1" applyAlignment="1">
      <alignment horizontal="center" vertical="top" wrapText="1"/>
    </xf>
    <xf numFmtId="0" fontId="12" fillId="0" borderId="6" xfId="0" applyFont="1" applyBorder="1" applyAlignment="1">
      <alignment horizontal="center" vertical="top" wrapText="1"/>
    </xf>
    <xf numFmtId="0" fontId="1" fillId="4" borderId="2"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0" fillId="7" borderId="17" xfId="0" applyFont="1" applyFill="1" applyBorder="1"/>
    <xf numFmtId="0" fontId="10" fillId="7" borderId="19" xfId="0" applyFont="1" applyFill="1" applyBorder="1"/>
    <xf numFmtId="0" fontId="10" fillId="7" borderId="18" xfId="0" applyFont="1" applyFill="1" applyBorder="1"/>
    <xf numFmtId="0" fontId="10" fillId="0" borderId="15" xfId="0" applyFont="1" applyBorder="1"/>
    <xf numFmtId="0" fontId="10" fillId="0" borderId="16" xfId="0" applyFont="1" applyBorder="1"/>
    <xf numFmtId="0" fontId="10" fillId="0" borderId="20" xfId="0" applyFont="1" applyBorder="1"/>
    <xf numFmtId="0" fontId="1" fillId="0" borderId="3" xfId="0" applyFont="1" applyBorder="1" applyAlignment="1">
      <alignment horizontal="center"/>
    </xf>
    <xf numFmtId="0" fontId="1" fillId="0" borderId="14" xfId="0" applyFont="1" applyBorder="1" applyAlignment="1">
      <alignment horizontal="center"/>
    </xf>
    <xf numFmtId="0" fontId="1" fillId="0" borderId="4" xfId="0" applyFont="1" applyBorder="1" applyAlignment="1">
      <alignment horizontal="center"/>
    </xf>
    <xf numFmtId="0" fontId="10" fillId="7" borderId="2" xfId="0" applyFont="1" applyFill="1" applyBorder="1"/>
    <xf numFmtId="0" fontId="10" fillId="0" borderId="2" xfId="0" applyFont="1" applyBorder="1"/>
    <xf numFmtId="0" fontId="1" fillId="9" borderId="2" xfId="0" applyFont="1" applyFill="1" applyBorder="1" applyAlignment="1">
      <alignment horizontal="center"/>
    </xf>
    <xf numFmtId="0" fontId="1" fillId="4" borderId="2" xfId="0" applyFont="1" applyFill="1" applyBorder="1" applyAlignment="1">
      <alignment horizontal="center"/>
    </xf>
    <xf numFmtId="0" fontId="1" fillId="0" borderId="2" xfId="0" applyFont="1" applyBorder="1" applyAlignment="1">
      <alignment vertical="center"/>
    </xf>
    <xf numFmtId="0" fontId="3" fillId="2" borderId="2" xfId="0" applyFont="1" applyFill="1" applyBorder="1" applyAlignment="1">
      <alignment vertical="center"/>
    </xf>
    <xf numFmtId="0" fontId="1" fillId="4" borderId="10" xfId="0" applyFont="1" applyFill="1" applyBorder="1" applyAlignment="1">
      <alignment vertical="center"/>
    </xf>
    <xf numFmtId="0" fontId="10" fillId="7" borderId="15" xfId="0" applyFont="1" applyFill="1" applyBorder="1"/>
    <xf numFmtId="0" fontId="10" fillId="7" borderId="16" xfId="0" applyFont="1" applyFill="1" applyBorder="1"/>
    <xf numFmtId="0" fontId="10" fillId="7" borderId="20" xfId="0" applyFont="1" applyFill="1" applyBorder="1"/>
    <xf numFmtId="0" fontId="1" fillId="0" borderId="5" xfId="0" applyFont="1" applyBorder="1" applyAlignment="1">
      <alignment horizontal="center"/>
    </xf>
    <xf numFmtId="0" fontId="1" fillId="0" borderId="21" xfId="0" applyFont="1" applyBorder="1" applyAlignment="1">
      <alignment horizontal="center"/>
    </xf>
    <xf numFmtId="0" fontId="1" fillId="0" borderId="6" xfId="0" applyFont="1" applyBorder="1" applyAlignment="1">
      <alignment horizontal="center"/>
    </xf>
    <xf numFmtId="0" fontId="1" fillId="4" borderId="9" xfId="0" applyFont="1" applyFill="1" applyBorder="1" applyAlignment="1">
      <alignment horizontal="center" vertical="center"/>
    </xf>
    <xf numFmtId="0" fontId="10" fillId="7" borderId="5" xfId="0" applyFont="1" applyFill="1" applyBorder="1" applyAlignment="1">
      <alignment horizontal="center"/>
    </xf>
    <xf numFmtId="0" fontId="10" fillId="7" borderId="6" xfId="0" applyFont="1" applyFill="1" applyBorder="1" applyAlignment="1">
      <alignment horizontal="center"/>
    </xf>
    <xf numFmtId="0" fontId="1" fillId="0" borderId="11" xfId="0" applyFont="1" applyBorder="1" applyAlignment="1">
      <alignment vertical="center"/>
    </xf>
    <xf numFmtId="0" fontId="1" fillId="0" borderId="12" xfId="0" applyFont="1" applyBorder="1" applyAlignment="1">
      <alignment vertical="center"/>
    </xf>
    <xf numFmtId="0" fontId="1" fillId="0" borderId="5" xfId="0" applyFont="1" applyBorder="1" applyAlignment="1">
      <alignment vertical="center"/>
    </xf>
    <xf numFmtId="0" fontId="1" fillId="0" borderId="21" xfId="0" applyFont="1" applyBorder="1" applyAlignment="1">
      <alignment vertical="center"/>
    </xf>
    <xf numFmtId="0" fontId="1" fillId="0" borderId="6" xfId="0" applyFont="1" applyBorder="1" applyAlignment="1">
      <alignmen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3" fillId="2" borderId="2" xfId="0" applyFont="1" applyFill="1" applyBorder="1" applyAlignment="1">
      <alignment vertical="center"/>
    </xf>
    <xf numFmtId="0" fontId="10" fillId="0" borderId="3" xfId="0" applyFont="1" applyBorder="1" applyAlignment="1">
      <alignment vertical="center"/>
    </xf>
    <xf numFmtId="0" fontId="10" fillId="0" borderId="4" xfId="0" applyFont="1" applyBorder="1" applyAlignment="1">
      <alignment vertical="center"/>
    </xf>
    <xf numFmtId="0" fontId="1" fillId="0" borderId="3" xfId="0" applyFont="1" applyBorder="1" applyAlignment="1">
      <alignment vertical="center"/>
    </xf>
    <xf numFmtId="0" fontId="1" fillId="0" borderId="14" xfId="0" applyFont="1" applyBorder="1" applyAlignment="1">
      <alignment vertical="center"/>
    </xf>
    <xf numFmtId="0" fontId="1" fillId="0" borderId="4" xfId="0" applyFont="1" applyBorder="1" applyAlignment="1">
      <alignment vertical="center"/>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left"/>
    </xf>
    <xf numFmtId="0" fontId="1" fillId="4" borderId="6" xfId="0" applyFont="1" applyFill="1" applyBorder="1" applyAlignment="1">
      <alignment horizontal="center" vertical="center" wrapText="1"/>
    </xf>
    <xf numFmtId="0" fontId="1" fillId="10" borderId="2" xfId="0" applyFont="1" applyFill="1" applyBorder="1" applyAlignment="1">
      <alignment horizontal="center" vertical="center"/>
    </xf>
    <xf numFmtId="0" fontId="10" fillId="0" borderId="2" xfId="0" applyFont="1" applyBorder="1" applyAlignment="1">
      <alignment horizontal="center"/>
    </xf>
    <xf numFmtId="0" fontId="10" fillId="7" borderId="2" xfId="0" applyFont="1" applyFill="1" applyBorder="1" applyAlignment="1">
      <alignment horizontal="center"/>
    </xf>
    <xf numFmtId="0" fontId="1" fillId="9" borderId="2" xfId="0" applyFont="1" applyFill="1" applyBorder="1" applyAlignment="1">
      <alignment horizontal="center" vertical="center" wrapText="1"/>
    </xf>
    <xf numFmtId="0" fontId="3" fillId="2" borderId="2" xfId="0" applyFont="1" applyFill="1" applyBorder="1" applyAlignment="1">
      <alignment horizontal="lef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7" fillId="4" borderId="2" xfId="0" applyFont="1" applyFill="1" applyBorder="1" applyAlignment="1">
      <alignment vertical="center" wrapText="1"/>
    </xf>
    <xf numFmtId="0" fontId="17" fillId="8" borderId="2" xfId="0" applyFont="1" applyFill="1" applyBorder="1" applyAlignment="1">
      <alignment horizontal="left" vertical="center" wrapText="1"/>
    </xf>
    <xf numFmtId="0" fontId="1" fillId="0" borderId="0" xfId="0" applyFont="1" applyAlignment="1">
      <alignment horizontal="center" vertical="center" wrapText="1"/>
    </xf>
    <xf numFmtId="0" fontId="17" fillId="4" borderId="2" xfId="0" applyFont="1" applyFill="1" applyBorder="1" applyAlignment="1">
      <alignment horizontal="left" vertical="center" wrapText="1"/>
    </xf>
    <xf numFmtId="0" fontId="10" fillId="0" borderId="2" xfId="0" applyFont="1" applyBorder="1" applyAlignment="1">
      <alignment horizontal="left" vertical="center" wrapText="1"/>
    </xf>
    <xf numFmtId="0" fontId="17" fillId="0" borderId="2" xfId="0" applyFont="1" applyBorder="1" applyAlignment="1">
      <alignment horizontal="center" vertical="center" wrapText="1"/>
    </xf>
    <xf numFmtId="0" fontId="20" fillId="2" borderId="2" xfId="0" applyFont="1" applyFill="1" applyBorder="1" applyAlignment="1">
      <alignment horizontal="center" vertical="center" wrapText="1"/>
    </xf>
    <xf numFmtId="0" fontId="10" fillId="4" borderId="2" xfId="0" applyFont="1" applyFill="1" applyBorder="1" applyAlignment="1">
      <alignment horizontal="center" vertical="center" wrapText="1" readingOrder="1"/>
    </xf>
    <xf numFmtId="0" fontId="10" fillId="4" borderId="2" xfId="0" applyFont="1" applyFill="1" applyBorder="1" applyAlignment="1">
      <alignment vertical="center" wrapText="1"/>
    </xf>
    <xf numFmtId="0" fontId="18" fillId="3" borderId="2"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14" fillId="10" borderId="44" xfId="0" applyFont="1" applyFill="1" applyBorder="1" applyAlignment="1">
      <alignment horizontal="left" vertical="center" wrapText="1"/>
    </xf>
    <xf numFmtId="0" fontId="14" fillId="10" borderId="45" xfId="0" applyFont="1" applyFill="1" applyBorder="1" applyAlignment="1">
      <alignment horizontal="left" vertical="center" wrapText="1"/>
    </xf>
    <xf numFmtId="0" fontId="14" fillId="10" borderId="46" xfId="0" applyFont="1" applyFill="1" applyBorder="1" applyAlignment="1">
      <alignment horizontal="left" vertical="center" wrapText="1"/>
    </xf>
    <xf numFmtId="0" fontId="14" fillId="10" borderId="47" xfId="0" applyFont="1" applyFill="1" applyBorder="1" applyAlignment="1">
      <alignment horizontal="left" vertical="center" wrapText="1"/>
    </xf>
    <xf numFmtId="0" fontId="14" fillId="10" borderId="48" xfId="0" applyFont="1" applyFill="1" applyBorder="1" applyAlignment="1">
      <alignment horizontal="left" vertical="center" wrapText="1"/>
    </xf>
    <xf numFmtId="0" fontId="14" fillId="10" borderId="49" xfId="0" applyFont="1" applyFill="1" applyBorder="1" applyAlignment="1">
      <alignment horizontal="left" vertical="center" wrapText="1"/>
    </xf>
    <xf numFmtId="0" fontId="13" fillId="2" borderId="2"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1" fillId="0" borderId="6" xfId="0" applyFont="1" applyBorder="1" applyAlignment="1">
      <alignment horizontal="center" vertical="center" wrapText="1"/>
    </xf>
    <xf numFmtId="0" fontId="17" fillId="8" borderId="2" xfId="0" applyFont="1" applyFill="1" applyBorder="1" applyAlignment="1">
      <alignment vertical="center" wrapText="1"/>
    </xf>
    <xf numFmtId="0" fontId="10" fillId="4" borderId="10" xfId="0" applyFont="1" applyFill="1" applyBorder="1" applyAlignment="1">
      <alignment vertical="center" wrapText="1"/>
    </xf>
    <xf numFmtId="0" fontId="17" fillId="4" borderId="10"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1" fillId="0" borderId="10" xfId="0" applyFont="1" applyBorder="1" applyAlignment="1">
      <alignment horizontal="left" vertical="center" wrapText="1"/>
    </xf>
    <xf numFmtId="0" fontId="1" fillId="0" borderId="13" xfId="0" applyFont="1" applyBorder="1" applyAlignment="1">
      <alignment horizontal="center" vertical="center" wrapText="1"/>
    </xf>
    <xf numFmtId="0" fontId="13" fillId="2" borderId="2" xfId="0" applyFont="1" applyFill="1" applyBorder="1" applyAlignment="1">
      <alignment vertical="center" wrapText="1"/>
    </xf>
    <xf numFmtId="0" fontId="17" fillId="0" borderId="2" xfId="0" applyFont="1" applyBorder="1" applyAlignment="1">
      <alignment vertical="center" wrapText="1"/>
    </xf>
    <xf numFmtId="0" fontId="13" fillId="2" borderId="2"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20" fillId="0" borderId="2" xfId="0" applyFont="1" applyBorder="1" applyAlignment="1">
      <alignment horizontal="left" vertical="center" wrapText="1"/>
    </xf>
    <xf numFmtId="0" fontId="18" fillId="3" borderId="5"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21" xfId="0" applyFont="1" applyFill="1" applyBorder="1" applyAlignment="1">
      <alignment horizontal="center" vertical="center" wrapText="1"/>
    </xf>
    <xf numFmtId="0" fontId="16" fillId="3" borderId="32" xfId="0" applyFont="1" applyFill="1" applyBorder="1" applyAlignment="1">
      <alignment horizontal="center" vertical="center" wrapText="1"/>
    </xf>
    <xf numFmtId="0" fontId="16" fillId="3" borderId="14" xfId="0" applyFont="1" applyFill="1" applyBorder="1" applyAlignment="1">
      <alignment horizontal="center" vertical="center" wrapText="1"/>
    </xf>
    <xf numFmtId="0" fontId="16" fillId="3" borderId="4"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20" fillId="5" borderId="9" xfId="0" applyFont="1" applyFill="1" applyBorder="1" applyAlignment="1">
      <alignment horizontal="left" vertical="center" wrapText="1"/>
    </xf>
    <xf numFmtId="0" fontId="20" fillId="5" borderId="2" xfId="0" applyFont="1" applyFill="1" applyBorder="1" applyAlignment="1">
      <alignment horizontal="left" vertical="center" wrapText="1"/>
    </xf>
    <xf numFmtId="0" fontId="1" fillId="0" borderId="9" xfId="0" applyFont="1" applyBorder="1" applyAlignment="1">
      <alignment horizontal="center" vertical="center"/>
      <extLst>
        <ext xmlns:xfpb="http://schemas.microsoft.com/office/spreadsheetml/2022/featurepropertybag" uri="{C7286773-470A-42A8-94C5-96B5CB345126}">
          <xfpb:xfComplement i="0"/>
        </ext>
      </extLst>
    </xf>
    <xf numFmtId="0" fontId="10" fillId="4" borderId="3" xfId="0" applyFont="1" applyFill="1" applyBorder="1" applyAlignment="1">
      <alignment horizontal="center" vertical="center" wrapText="1" readingOrder="1"/>
    </xf>
    <xf numFmtId="0" fontId="17" fillId="0" borderId="2" xfId="0" applyFont="1" applyBorder="1" applyAlignment="1">
      <alignment horizontal="left" vertical="center" wrapText="1"/>
    </xf>
    <xf numFmtId="0" fontId="16" fillId="3" borderId="2" xfId="0" applyFont="1" applyFill="1" applyBorder="1" applyAlignment="1">
      <alignment horizontal="left" vertical="center" wrapText="1"/>
    </xf>
    <xf numFmtId="0" fontId="18" fillId="3" borderId="9" xfId="0" applyFont="1" applyFill="1" applyBorder="1" applyAlignment="1">
      <alignment horizontal="left" vertical="center" wrapText="1"/>
    </xf>
    <xf numFmtId="0" fontId="18" fillId="3" borderId="5" xfId="0" applyFont="1" applyFill="1" applyBorder="1" applyAlignment="1">
      <alignment horizontal="left" vertical="center" wrapText="1"/>
    </xf>
    <xf numFmtId="0" fontId="17" fillId="4" borderId="11" xfId="0" applyFont="1" applyFill="1" applyBorder="1" applyAlignment="1">
      <alignment horizontal="left" vertical="center" wrapText="1"/>
    </xf>
    <xf numFmtId="0" fontId="17" fillId="4" borderId="0" xfId="0" applyFont="1" applyFill="1" applyAlignment="1">
      <alignment horizontal="left" vertical="center" wrapText="1"/>
    </xf>
    <xf numFmtId="0" fontId="17" fillId="4" borderId="21" xfId="0" applyFont="1" applyFill="1" applyBorder="1" applyAlignment="1">
      <alignment horizontal="left" vertical="center" wrapText="1"/>
    </xf>
    <xf numFmtId="0" fontId="17" fillId="4" borderId="14" xfId="0" applyFont="1" applyFill="1" applyBorder="1" applyAlignment="1">
      <alignment horizontal="left" vertical="center" wrapText="1"/>
    </xf>
    <xf numFmtId="0" fontId="17" fillId="4" borderId="6" xfId="0" applyFont="1" applyFill="1" applyBorder="1" applyAlignment="1">
      <alignment horizontal="left" vertical="center" wrapText="1"/>
    </xf>
    <xf numFmtId="0" fontId="17" fillId="4" borderId="3" xfId="0" applyFont="1" applyFill="1" applyBorder="1" applyAlignment="1">
      <alignment horizontal="left" vertical="center" wrapText="1"/>
    </xf>
    <xf numFmtId="0" fontId="17" fillId="4" borderId="4" xfId="0" applyFont="1" applyFill="1" applyBorder="1" applyAlignment="1">
      <alignment horizontal="left" vertical="center"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3" xfId="0" applyFont="1" applyBorder="1" applyAlignment="1">
      <alignment horizontal="center" vertical="center"/>
    </xf>
    <xf numFmtId="0" fontId="1" fillId="0" borderId="0" xfId="0" applyFont="1" applyAlignment="1">
      <alignment vertical="center" wrapText="1"/>
    </xf>
    <xf numFmtId="0" fontId="17" fillId="4" borderId="9" xfId="0" applyFont="1" applyFill="1" applyBorder="1" applyAlignment="1">
      <alignment vertical="center" wrapText="1"/>
    </xf>
    <xf numFmtId="0" fontId="17" fillId="8" borderId="9" xfId="0" applyFont="1" applyFill="1" applyBorder="1" applyAlignment="1">
      <alignment horizontal="left" vertical="center" wrapText="1"/>
    </xf>
    <xf numFmtId="0" fontId="17" fillId="9" borderId="7" xfId="0" applyFont="1" applyFill="1" applyBorder="1" applyAlignment="1">
      <alignment horizontal="left" vertical="center" wrapText="1"/>
    </xf>
    <xf numFmtId="0" fontId="17" fillId="9" borderId="34" xfId="0" applyFont="1" applyFill="1" applyBorder="1" applyAlignment="1">
      <alignment horizontal="left" vertical="center" wrapText="1"/>
    </xf>
    <xf numFmtId="0" fontId="17" fillId="9" borderId="8" xfId="0" applyFont="1" applyFill="1" applyBorder="1" applyAlignment="1">
      <alignment horizontal="left" vertical="center" wrapText="1"/>
    </xf>
    <xf numFmtId="0" fontId="10" fillId="4" borderId="5" xfId="0" applyFont="1" applyFill="1" applyBorder="1" applyAlignment="1">
      <alignment horizontal="center" vertical="top" wrapText="1" readingOrder="1"/>
    </xf>
    <xf numFmtId="0" fontId="10" fillId="4" borderId="11" xfId="0" applyFont="1" applyFill="1" applyBorder="1" applyAlignment="1">
      <alignment horizontal="center" vertical="top" wrapText="1" readingOrder="1"/>
    </xf>
    <xf numFmtId="0" fontId="10" fillId="4" borderId="10" xfId="0" applyFont="1" applyFill="1" applyBorder="1" applyAlignment="1">
      <alignment horizontal="center" vertical="top" wrapText="1" readingOrder="1"/>
    </xf>
    <xf numFmtId="0" fontId="17" fillId="8" borderId="11" xfId="0" applyFont="1" applyFill="1" applyBorder="1" applyAlignment="1">
      <alignment horizontal="left" vertical="center" wrapText="1"/>
    </xf>
    <xf numFmtId="0" fontId="17" fillId="8" borderId="0" xfId="0" applyFont="1" applyFill="1" applyAlignment="1">
      <alignment horizontal="left" vertical="center" wrapText="1"/>
    </xf>
    <xf numFmtId="0" fontId="17" fillId="8" borderId="12" xfId="0" applyFont="1" applyFill="1" applyBorder="1" applyAlignment="1">
      <alignment horizontal="left" vertical="center" wrapText="1"/>
    </xf>
    <xf numFmtId="0" fontId="10" fillId="4" borderId="7" xfId="0" applyFont="1" applyFill="1" applyBorder="1" applyAlignment="1">
      <alignment horizontal="center" vertical="top" wrapText="1" readingOrder="1"/>
    </xf>
    <xf numFmtId="0" fontId="1" fillId="4" borderId="5" xfId="0" applyFont="1" applyFill="1" applyBorder="1" applyAlignment="1">
      <alignment horizontal="center" vertical="top"/>
    </xf>
    <xf numFmtId="0" fontId="10" fillId="8" borderId="7" xfId="0" applyFont="1" applyFill="1" applyBorder="1" applyAlignment="1">
      <alignment horizontal="left" vertical="center" wrapText="1"/>
    </xf>
    <xf numFmtId="0" fontId="10" fillId="8" borderId="3" xfId="0" applyFont="1" applyFill="1" applyBorder="1" applyAlignment="1">
      <alignment horizontal="left" vertical="center" wrapText="1"/>
    </xf>
    <xf numFmtId="0" fontId="10" fillId="8" borderId="5" xfId="0" applyFont="1" applyFill="1" applyBorder="1" applyAlignment="1">
      <alignment horizontal="left" vertical="center" wrapText="1"/>
    </xf>
    <xf numFmtId="0" fontId="17" fillId="0" borderId="11" xfId="0" applyFont="1" applyBorder="1" applyAlignment="1">
      <alignment horizontal="center" vertical="center" wrapText="1"/>
    </xf>
    <xf numFmtId="0" fontId="17" fillId="4" borderId="13" xfId="0" applyFont="1" applyFill="1" applyBorder="1" applyAlignment="1">
      <alignment vertical="center" wrapText="1"/>
    </xf>
    <xf numFmtId="0" fontId="17" fillId="0" borderId="5" xfId="0" applyFont="1" applyBorder="1" applyAlignment="1">
      <alignment horizontal="center" vertical="center" wrapText="1"/>
    </xf>
    <xf numFmtId="0" fontId="10" fillId="8" borderId="2" xfId="0" applyFont="1" applyFill="1" applyBorder="1" applyAlignment="1">
      <alignment horizontal="left" vertical="center" wrapText="1"/>
    </xf>
    <xf numFmtId="0" fontId="1"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1" fillId="0" borderId="13" xfId="0" applyFont="1" applyBorder="1" applyAlignment="1">
      <alignment horizontal="center" vertical="center"/>
      <extLst>
        <ext xmlns:xfpb="http://schemas.microsoft.com/office/spreadsheetml/2022/featurepropertybag" uri="{C7286773-470A-42A8-94C5-96B5CB345126}">
          <xfpb:xfComplement i="0"/>
        </ext>
      </extLst>
    </xf>
    <xf numFmtId="0" fontId="17" fillId="0" borderId="7" xfId="0" applyFont="1" applyBorder="1" applyAlignment="1">
      <alignment horizontal="center" vertical="center" wrapText="1"/>
    </xf>
    <xf numFmtId="0" fontId="20" fillId="9" borderId="2" xfId="0" applyFont="1" applyFill="1" applyBorder="1" applyAlignment="1">
      <alignment horizontal="left" vertical="center" wrapText="1"/>
    </xf>
    <xf numFmtId="0" fontId="1" fillId="0" borderId="7" xfId="0" applyFont="1" applyBorder="1" applyAlignment="1">
      <alignment horizontal="center" vertical="center"/>
      <extLst>
        <ext xmlns:xfpb="http://schemas.microsoft.com/office/spreadsheetml/2022/featurepropertybag" uri="{C7286773-470A-42A8-94C5-96B5CB345126}">
          <xfpb:xfComplement i="0"/>
        </ext>
      </extLst>
    </xf>
    <xf numFmtId="0" fontId="10" fillId="4" borderId="13" xfId="0" applyFont="1" applyFill="1" applyBorder="1" applyAlignment="1">
      <alignment horizontal="center" vertical="top" wrapText="1" readingOrder="1"/>
    </xf>
    <xf numFmtId="0" fontId="17" fillId="9" borderId="2" xfId="0" applyFont="1" applyFill="1" applyBorder="1" applyAlignment="1">
      <alignment horizontal="left" vertical="center" wrapText="1"/>
    </xf>
    <xf numFmtId="0" fontId="17" fillId="9" borderId="3" xfId="0" applyFont="1" applyFill="1" applyBorder="1" applyAlignment="1">
      <alignment horizontal="left" vertical="center" wrapText="1"/>
    </xf>
    <xf numFmtId="0" fontId="17" fillId="9" borderId="14" xfId="0" applyFont="1" applyFill="1" applyBorder="1" applyAlignment="1">
      <alignment horizontal="left" vertical="center" wrapText="1"/>
    </xf>
    <xf numFmtId="0" fontId="17" fillId="9" borderId="4" xfId="0" applyFont="1" applyFill="1" applyBorder="1" applyAlignment="1">
      <alignment horizontal="left"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0" fillId="4" borderId="9" xfId="0" applyFont="1" applyFill="1" applyBorder="1" applyAlignment="1">
      <alignment horizontal="center" vertical="top" wrapText="1" readingOrder="1"/>
    </xf>
    <xf numFmtId="0" fontId="17" fillId="0" borderId="6" xfId="0" applyFont="1" applyBorder="1" applyAlignment="1">
      <alignment horizontal="center" vertical="center" wrapText="1"/>
    </xf>
    <xf numFmtId="0" fontId="17" fillId="4" borderId="10" xfId="0" applyFont="1" applyFill="1" applyBorder="1" applyAlignment="1">
      <alignment horizontal="left" vertical="center" wrapText="1"/>
    </xf>
    <xf numFmtId="0" fontId="17" fillId="4" borderId="7" xfId="0" applyFont="1" applyFill="1" applyBorder="1" applyAlignment="1">
      <alignment horizontal="left" vertical="center" wrapText="1"/>
    </xf>
    <xf numFmtId="0" fontId="17" fillId="0" borderId="14" xfId="0" applyFont="1" applyBorder="1" applyAlignment="1">
      <alignment horizontal="center" vertical="center" wrapText="1"/>
    </xf>
    <xf numFmtId="0" fontId="19" fillId="9" borderId="3" xfId="0" applyFont="1" applyFill="1" applyBorder="1" applyAlignment="1">
      <alignment horizontal="left" vertical="center" wrapText="1"/>
    </xf>
    <xf numFmtId="0" fontId="19" fillId="9" borderId="14" xfId="0" applyFont="1" applyFill="1" applyBorder="1" applyAlignment="1">
      <alignment horizontal="left" vertical="center" wrapText="1"/>
    </xf>
    <xf numFmtId="0" fontId="19" fillId="9" borderId="4" xfId="0" applyFont="1" applyFill="1" applyBorder="1" applyAlignment="1">
      <alignment horizontal="left" vertical="center" wrapText="1"/>
    </xf>
    <xf numFmtId="0" fontId="18" fillId="3" borderId="3" xfId="0" applyFont="1" applyFill="1" applyBorder="1" applyAlignment="1">
      <alignment horizontal="center" vertical="center" wrapText="1"/>
    </xf>
    <xf numFmtId="0" fontId="18" fillId="3" borderId="14"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7" fillId="0" borderId="10" xfId="0" applyFont="1" applyBorder="1" applyAlignment="1">
      <alignment horizontal="center" vertical="center" wrapText="1"/>
    </xf>
    <xf numFmtId="0" fontId="10" fillId="8" borderId="2" xfId="0" applyFont="1" applyFill="1" applyBorder="1" applyAlignment="1">
      <alignment horizontal="left" wrapText="1"/>
    </xf>
    <xf numFmtId="0" fontId="1" fillId="0" borderId="11" xfId="0" applyFont="1" applyBorder="1" applyAlignment="1">
      <alignment horizontal="center" vertical="center" wrapText="1"/>
    </xf>
    <xf numFmtId="0" fontId="13" fillId="8" borderId="2" xfId="0" applyFont="1" applyFill="1" applyBorder="1" applyAlignment="1">
      <alignment horizontal="left" vertical="center" wrapText="1"/>
    </xf>
    <xf numFmtId="0" fontId="20" fillId="8" borderId="2" xfId="0" applyFont="1" applyFill="1" applyBorder="1" applyAlignment="1">
      <alignment horizontal="left" vertical="center" wrapText="1"/>
    </xf>
    <xf numFmtId="0" fontId="13" fillId="8" borderId="2" xfId="0" applyFont="1" applyFill="1" applyBorder="1" applyAlignment="1">
      <alignment horizontal="left" wrapText="1"/>
    </xf>
    <xf numFmtId="0" fontId="20" fillId="4"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1" fillId="0" borderId="27" xfId="0" applyFont="1" applyBorder="1" applyAlignment="1">
      <alignment horizontal="center"/>
    </xf>
    <xf numFmtId="0" fontId="1" fillId="0" borderId="27" xfId="0" applyFont="1" applyBorder="1" applyAlignment="1">
      <alignment horizontal="center" vertical="center" wrapText="1"/>
    </xf>
    <xf numFmtId="0" fontId="1" fillId="0" borderId="27" xfId="0" applyFont="1" applyBorder="1" applyAlignment="1">
      <alignment horizontal="center" vertical="center"/>
    </xf>
    <xf numFmtId="0" fontId="10" fillId="0" borderId="27" xfId="0" applyFont="1" applyBorder="1" applyAlignment="1">
      <alignment horizontal="center" vertical="center" wrapText="1"/>
    </xf>
    <xf numFmtId="0" fontId="10" fillId="0" borderId="27" xfId="0" applyFont="1" applyBorder="1" applyAlignment="1">
      <alignment vertical="center"/>
    </xf>
    <xf numFmtId="0" fontId="1" fillId="0" borderId="27" xfId="0" applyFont="1" applyBorder="1" applyAlignment="1">
      <alignment vertical="center"/>
    </xf>
    <xf numFmtId="0" fontId="1" fillId="3" borderId="27" xfId="0" applyFont="1" applyFill="1" applyBorder="1" applyAlignment="1">
      <alignment horizontal="center" vertical="center"/>
    </xf>
    <xf numFmtId="0" fontId="17" fillId="8" borderId="27" xfId="0" applyFont="1" applyFill="1" applyBorder="1" applyAlignment="1">
      <alignment horizontal="left" vertical="center" wrapText="1"/>
    </xf>
    <xf numFmtId="0" fontId="10" fillId="4" borderId="27" xfId="0" applyFont="1" applyFill="1" applyBorder="1" applyAlignment="1">
      <alignment horizontal="center" vertical="center" wrapText="1" readingOrder="1"/>
    </xf>
    <xf numFmtId="0" fontId="17" fillId="4" borderId="27" xfId="0" applyFont="1" applyFill="1" applyBorder="1" applyAlignment="1">
      <alignment horizontal="left" vertical="center" wrapText="1"/>
    </xf>
    <xf numFmtId="0" fontId="1" fillId="0" borderId="27" xfId="0" applyFont="1" applyBorder="1" applyAlignment="1">
      <alignment horizontal="left" vertical="center" wrapText="1"/>
    </xf>
    <xf numFmtId="0" fontId="16" fillId="3" borderId="27" xfId="0" applyFont="1" applyFill="1" applyBorder="1" applyAlignment="1">
      <alignment horizontal="center" vertical="center" wrapText="1"/>
    </xf>
    <xf numFmtId="0" fontId="17" fillId="4" borderId="27" xfId="0" applyFont="1" applyFill="1" applyBorder="1" applyAlignment="1">
      <alignment vertical="center" wrapText="1"/>
    </xf>
    <xf numFmtId="0" fontId="18" fillId="3" borderId="27" xfId="0" applyFont="1" applyFill="1" applyBorder="1" applyAlignment="1">
      <alignment horizontal="center" vertical="center" wrapText="1"/>
    </xf>
    <xf numFmtId="0" fontId="20" fillId="2" borderId="27" xfId="0" applyFont="1" applyFill="1" applyBorder="1" applyAlignment="1">
      <alignment horizontal="center" vertical="center" wrapText="1"/>
    </xf>
    <xf numFmtId="0" fontId="17" fillId="0" borderId="27" xfId="0" applyFont="1" applyBorder="1" applyAlignment="1">
      <alignment horizontal="center" vertical="center" wrapText="1"/>
    </xf>
    <xf numFmtId="0" fontId="16" fillId="3" borderId="9"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0" fillId="0" borderId="27" xfId="0" applyFont="1" applyBorder="1" applyAlignment="1">
      <alignment horizontal="left" vertical="center" wrapText="1"/>
    </xf>
    <xf numFmtId="0" fontId="10" fillId="4" borderId="27" xfId="0" applyFont="1" applyFill="1" applyBorder="1" applyAlignment="1">
      <alignment vertical="center" wrapText="1"/>
    </xf>
    <xf numFmtId="0" fontId="1" fillId="3" borderId="27" xfId="0" applyFont="1" applyFill="1" applyBorder="1" applyAlignment="1">
      <alignment horizontal="center" vertical="center" wrapText="1"/>
    </xf>
    <xf numFmtId="0" fontId="16" fillId="3" borderId="27" xfId="0" applyFont="1" applyFill="1" applyBorder="1" applyAlignment="1">
      <alignment horizontal="left" vertical="center" wrapText="1"/>
    </xf>
    <xf numFmtId="0" fontId="18" fillId="3" borderId="27" xfId="0" applyFont="1" applyFill="1" applyBorder="1" applyAlignment="1">
      <alignment horizontal="left" vertical="center" wrapText="1"/>
    </xf>
    <xf numFmtId="0" fontId="20" fillId="5" borderId="27" xfId="0" applyFont="1" applyFill="1" applyBorder="1" applyAlignment="1">
      <alignment horizontal="left" vertical="center" wrapText="1"/>
    </xf>
    <xf numFmtId="0" fontId="17" fillId="0" borderId="27" xfId="0" applyFont="1" applyBorder="1" applyAlignment="1">
      <alignment horizontal="left" vertical="center" wrapText="1"/>
    </xf>
    <xf numFmtId="0" fontId="10" fillId="4" borderId="27" xfId="0" applyFont="1" applyFill="1" applyBorder="1" applyAlignment="1">
      <alignment horizontal="left" vertical="center" wrapText="1"/>
    </xf>
    <xf numFmtId="0" fontId="17" fillId="8" borderId="27" xfId="0" applyFont="1" applyFill="1" applyBorder="1" applyAlignment="1">
      <alignment vertical="center" wrapText="1"/>
    </xf>
    <xf numFmtId="0" fontId="13" fillId="2" borderId="27" xfId="0" applyFont="1" applyFill="1" applyBorder="1" applyAlignment="1">
      <alignment horizontal="center" vertical="center" wrapText="1"/>
    </xf>
    <xf numFmtId="0" fontId="10" fillId="8" borderId="27" xfId="0" applyFont="1" applyFill="1" applyBorder="1" applyAlignment="1">
      <alignment horizontal="left" vertical="center" wrapText="1"/>
    </xf>
    <xf numFmtId="0" fontId="1" fillId="0" borderId="27" xfId="0" applyFont="1" applyBorder="1" applyAlignment="1">
      <alignment horizontal="center" vertical="center"/>
      <extLst>
        <ext xmlns:xfpb="http://schemas.microsoft.com/office/spreadsheetml/2022/featurepropertybag" uri="{C7286773-470A-42A8-94C5-96B5CB345126}">
          <xfpb:xfComplement i="0"/>
        </ext>
      </extLst>
    </xf>
    <xf numFmtId="0" fontId="20" fillId="9" borderId="27" xfId="0" applyFont="1" applyFill="1" applyBorder="1" applyAlignment="1">
      <alignment horizontal="left" vertical="center" wrapText="1"/>
    </xf>
    <xf numFmtId="0" fontId="13" fillId="8" borderId="27" xfId="0" applyFont="1" applyFill="1" applyBorder="1" applyAlignment="1">
      <alignment horizontal="left" vertical="center" wrapText="1"/>
    </xf>
    <xf numFmtId="0" fontId="10" fillId="8" borderId="27" xfId="0" applyFont="1" applyFill="1" applyBorder="1" applyAlignment="1">
      <alignment horizontal="left" wrapText="1"/>
    </xf>
    <xf numFmtId="0" fontId="13" fillId="8" borderId="27" xfId="0" applyFont="1" applyFill="1" applyBorder="1" applyAlignment="1">
      <alignment horizontal="left" wrapText="1"/>
    </xf>
    <xf numFmtId="0" fontId="20" fillId="8" borderId="27" xfId="0" applyFont="1" applyFill="1" applyBorder="1" applyAlignment="1">
      <alignment horizontal="left" vertical="center" wrapText="1"/>
    </xf>
    <xf numFmtId="0" fontId="17" fillId="9" borderId="27" xfId="0" applyFont="1" applyFill="1" applyBorder="1" applyAlignment="1">
      <alignment horizontal="left" vertical="center" wrapText="1"/>
    </xf>
    <xf numFmtId="0" fontId="10" fillId="4" borderId="27" xfId="0" applyFont="1" applyFill="1" applyBorder="1" applyAlignment="1">
      <alignment horizontal="center" vertical="top" wrapText="1" readingOrder="1"/>
    </xf>
    <xf numFmtId="0" fontId="1" fillId="4" borderId="27" xfId="0" applyFont="1" applyFill="1" applyBorder="1" applyAlignment="1">
      <alignment horizontal="center" vertical="top"/>
    </xf>
    <xf numFmtId="0" fontId="19" fillId="9" borderId="27" xfId="0" applyFont="1" applyFill="1" applyBorder="1" applyAlignment="1">
      <alignment horizontal="left" vertical="center" wrapText="1"/>
    </xf>
    <xf numFmtId="0" fontId="3" fillId="0" borderId="0" xfId="0" applyFont="1" applyAlignment="1">
      <alignment horizontal="center"/>
    </xf>
    <xf numFmtId="0" fontId="1" fillId="0" borderId="27" xfId="0" applyFont="1" applyBorder="1" applyAlignment="1">
      <alignment horizontal="left"/>
    </xf>
    <xf numFmtId="0" fontId="1" fillId="0" borderId="39" xfId="0" applyFont="1" applyBorder="1" applyAlignment="1">
      <alignment horizontal="left"/>
    </xf>
    <xf numFmtId="0" fontId="1" fillId="0" borderId="41" xfId="0" applyFont="1" applyBorder="1" applyAlignment="1">
      <alignment horizontal="left"/>
    </xf>
    <xf numFmtId="0" fontId="1" fillId="0" borderId="42" xfId="0" applyFont="1" applyBorder="1" applyAlignment="1">
      <alignment horizontal="left"/>
    </xf>
    <xf numFmtId="0" fontId="3" fillId="4" borderId="35" xfId="0" applyFont="1" applyFill="1" applyBorder="1" applyAlignment="1">
      <alignment horizontal="left"/>
    </xf>
    <xf numFmtId="0" fontId="3" fillId="4" borderId="36" xfId="0" applyFont="1" applyFill="1" applyBorder="1" applyAlignment="1">
      <alignment horizontal="left"/>
    </xf>
    <xf numFmtId="0" fontId="3" fillId="4" borderId="36" xfId="0" applyFont="1" applyFill="1" applyBorder="1" applyAlignment="1">
      <alignment horizontal="center"/>
    </xf>
    <xf numFmtId="0" fontId="3" fillId="4" borderId="37" xfId="0" applyFont="1" applyFill="1" applyBorder="1" applyAlignment="1">
      <alignment horizontal="center"/>
    </xf>
    <xf numFmtId="0" fontId="1" fillId="0" borderId="38" xfId="0" applyFont="1" applyBorder="1" applyAlignment="1">
      <alignment horizontal="center"/>
    </xf>
    <xf numFmtId="0" fontId="1" fillId="0" borderId="40" xfId="0" applyFont="1" applyBorder="1" applyAlignment="1">
      <alignment horizontal="center"/>
    </xf>
    <xf numFmtId="0" fontId="1" fillId="0" borderId="41" xfId="0" applyFont="1" applyBorder="1" applyAlignment="1">
      <alignment horizontal="center"/>
    </xf>
    <xf numFmtId="0" fontId="3" fillId="0" borderId="26" xfId="0" applyFont="1" applyBorder="1" applyAlignment="1">
      <alignment horizontal="center" vertical="center"/>
    </xf>
    <xf numFmtId="0" fontId="28" fillId="11" borderId="43" xfId="0" applyFont="1" applyFill="1" applyBorder="1" applyAlignment="1">
      <alignment horizontal="center"/>
    </xf>
    <xf numFmtId="0" fontId="28" fillId="11" borderId="0" xfId="0" applyFont="1" applyFill="1" applyAlignment="1">
      <alignment horizontal="center"/>
    </xf>
    <xf numFmtId="0" fontId="3" fillId="0" borderId="0" xfId="0" applyFont="1" applyAlignment="1">
      <alignment horizontal="center" vertical="center" textRotation="255"/>
    </xf>
    <xf numFmtId="0" fontId="28" fillId="11" borderId="35" xfId="0" applyFont="1" applyFill="1" applyBorder="1" applyAlignment="1">
      <alignment horizontal="center"/>
    </xf>
    <xf numFmtId="0" fontId="28" fillId="11" borderId="36" xfId="0" applyFont="1" applyFill="1" applyBorder="1" applyAlignment="1">
      <alignment horizontal="center"/>
    </xf>
    <xf numFmtId="0" fontId="28" fillId="11" borderId="37" xfId="0" applyFont="1" applyFill="1" applyBorder="1" applyAlignment="1">
      <alignment horizontal="center"/>
    </xf>
    <xf numFmtId="0" fontId="3" fillId="4" borderId="38" xfId="0" applyFont="1" applyFill="1" applyBorder="1" applyAlignment="1">
      <alignment horizontal="left"/>
    </xf>
    <xf numFmtId="0" fontId="3" fillId="4" borderId="27" xfId="0" applyFont="1" applyFill="1" applyBorder="1" applyAlignment="1">
      <alignment horizontal="left"/>
    </xf>
    <xf numFmtId="0" fontId="3" fillId="4" borderId="27" xfId="0" applyFont="1" applyFill="1" applyBorder="1" applyAlignment="1">
      <alignment horizontal="center"/>
    </xf>
    <xf numFmtId="0" fontId="3" fillId="4" borderId="39" xfId="0" applyFont="1" applyFill="1" applyBorder="1" applyAlignment="1">
      <alignment horizontal="center"/>
    </xf>
    <xf numFmtId="0" fontId="4" fillId="0" borderId="0" xfId="0" applyFont="1" applyAlignment="1">
      <alignment horizontal="center"/>
    </xf>
    <xf numFmtId="0" fontId="3" fillId="0" borderId="1" xfId="0" applyFont="1" applyBorder="1" applyAlignment="1">
      <alignment horizontal="center" vertical="center"/>
    </xf>
    <xf numFmtId="0" fontId="1" fillId="0" borderId="1" xfId="0" applyFont="1" applyBorder="1" applyAlignment="1">
      <alignment horizontal="center" vertical="center"/>
    </xf>
  </cellXfs>
  <cellStyles count="2">
    <cellStyle name="Normal" xfId="0" builtinId="0"/>
    <cellStyle name="Normal 2" xfId="1" xr:uid="{CE458D86-58E3-4520-9E54-FD28BA686A8C}"/>
  </cellStyles>
  <dxfs count="124">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theme="5" tint="-0.499984740745262"/>
      </font>
      <fill>
        <patternFill patternType="solid">
          <bgColor rgb="FFFFC000"/>
        </patternFill>
      </fill>
    </dxf>
    <dxf>
      <font>
        <color rgb="FF9C5700"/>
      </font>
      <fill>
        <patternFill>
          <bgColor rgb="FFFFEB9C"/>
        </patternFill>
      </fill>
    </dxf>
    <dxf>
      <font>
        <color theme="3" tint="9.9978637043366805E-2"/>
      </font>
      <fill>
        <patternFill patternType="solid">
          <bgColor theme="3" tint="0.749992370372631"/>
        </patternFill>
      </fill>
    </dxf>
    <dxf>
      <font>
        <color rgb="FF006100"/>
      </font>
      <fill>
        <patternFill>
          <bgColor rgb="FFC6EFCE"/>
        </patternFill>
      </fill>
    </dxf>
    <dxf>
      <font>
        <color rgb="FF9C5700"/>
      </font>
      <fill>
        <patternFill>
          <bgColor rgb="FFFFEB9C"/>
        </patternFill>
      </fill>
    </dxf>
    <dxf>
      <font>
        <color rgb="FF661C9E"/>
      </font>
      <fill>
        <patternFill patternType="solid">
          <bgColor rgb="FFC8BAD1"/>
        </patternFill>
      </fill>
    </dxf>
    <dxf>
      <font>
        <color rgb="FF006100"/>
      </font>
      <fill>
        <patternFill>
          <bgColor rgb="FFC6EFCE"/>
        </patternFill>
      </fill>
    </dxf>
    <dxf>
      <font>
        <color theme="3" tint="9.9978637043366805E-2"/>
      </font>
      <fill>
        <patternFill patternType="solid">
          <bgColor theme="3" tint="0.749992370372631"/>
        </patternFill>
      </fill>
    </dxf>
    <dxf>
      <font>
        <color rgb="FF9C0006"/>
      </font>
      <fill>
        <patternFill>
          <bgColor rgb="FFFFC7CE"/>
        </patternFill>
      </fill>
    </dxf>
    <dxf>
      <font>
        <color rgb="FF9C5700"/>
      </font>
      <fill>
        <patternFill>
          <bgColor rgb="FFFFEB9C"/>
        </patternFill>
      </fill>
    </dxf>
    <dxf>
      <font>
        <color theme="5" tint="-0.499984740745262"/>
      </font>
      <fill>
        <patternFill patternType="solid">
          <bgColor rgb="FFFFC000"/>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CF5300"/>
      </font>
      <fill>
        <patternFill patternType="solid">
          <bgColor rgb="FFFFC663"/>
        </patternFill>
      </fill>
    </dxf>
    <dxf>
      <font>
        <color rgb="FF9C5700"/>
      </font>
      <fill>
        <patternFill>
          <bgColor rgb="FFFFEB9C"/>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ont>
        <color rgb="FFCF5300"/>
      </font>
      <fill>
        <patternFill patternType="solid">
          <bgColor rgb="FFFFC663"/>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ont>
        <color rgb="FF9C5700"/>
      </font>
      <fill>
        <patternFill>
          <bgColor rgb="FFFFEB9C"/>
        </patternFill>
      </fill>
    </dxf>
    <dxf>
      <font>
        <color rgb="FFCF5300"/>
      </font>
      <fill>
        <patternFill patternType="solid">
          <bgColor rgb="FFFFC663"/>
        </patternFill>
      </fill>
    </dxf>
    <dxf>
      <font>
        <color rgb="FF9C0006"/>
      </font>
      <fill>
        <patternFill>
          <bgColor rgb="FFFFC7CE"/>
        </patternFill>
      </fill>
    </dxf>
    <dxf>
      <fill>
        <patternFill patternType="solid">
          <bgColor theme="0" tint="-0.14999847407452621"/>
        </patternFill>
      </fill>
    </dxf>
    <dxf>
      <fill>
        <patternFill>
          <bgColor theme="0" tint="-0.14996795556505021"/>
        </patternFill>
      </fill>
    </dxf>
    <dxf>
      <fill>
        <patternFill patternType="solid">
          <bgColor theme="0" tint="-0.14999847407452621"/>
        </patternFill>
      </fill>
    </dxf>
    <dxf>
      <fill>
        <patternFill>
          <bgColor theme="0" tint="-0.14996795556505021"/>
        </patternFill>
      </fill>
    </dxf>
    <dxf>
      <fill>
        <patternFill patternType="solid">
          <bgColor theme="0" tint="-0.14999847407452621"/>
        </patternFill>
      </fill>
    </dxf>
    <dxf>
      <fill>
        <patternFill>
          <bgColor theme="0" tint="-0.14996795556505021"/>
        </patternFill>
      </fill>
    </dxf>
    <dxf>
      <fill>
        <patternFill patternType="solid">
          <bgColor theme="0" tint="-0.14999847407452621"/>
        </patternFill>
      </fill>
    </dxf>
    <dxf>
      <fill>
        <patternFill>
          <bgColor theme="0" tint="-0.14996795556505021"/>
        </patternFill>
      </fill>
    </dxf>
    <dxf>
      <fill>
        <patternFill patternType="solid">
          <bgColor theme="0" tint="-0.14999847407452621"/>
        </patternFill>
      </fill>
    </dxf>
    <dxf>
      <fill>
        <patternFill>
          <bgColor theme="0" tint="-0.14996795556505021"/>
        </patternFill>
      </fill>
    </dxf>
    <dxf>
      <fill>
        <patternFill patternType="solid">
          <bgColor theme="0" tint="-0.14999847407452621"/>
        </patternFill>
      </fill>
    </dxf>
    <dxf>
      <fill>
        <patternFill>
          <bgColor theme="0" tint="-0.14996795556505021"/>
        </patternFill>
      </fill>
    </dxf>
    <dxf>
      <fill>
        <patternFill patternType="solid">
          <bgColor theme="0" tint="-0.14999847407452621"/>
        </patternFill>
      </fill>
    </dxf>
    <dxf>
      <fill>
        <patternFill>
          <bgColor theme="0" tint="-0.14996795556505021"/>
        </patternFill>
      </fill>
    </dxf>
    <dxf>
      <fill>
        <patternFill>
          <bgColor theme="0" tint="-0.14996795556505021"/>
        </patternFill>
      </fill>
    </dxf>
  </dxfs>
  <tableStyles count="0" defaultTableStyle="TableStyleMedium2" defaultPivotStyle="PivotStyleMedium9"/>
  <colors>
    <mruColors>
      <color rgb="FFAFA0BA"/>
      <color rgb="FF94DCF8"/>
      <color rgb="FFFFB5E3"/>
      <color rgb="FFC8BAD1"/>
      <color rgb="FF661C9E"/>
      <color rgb="FF9277A6"/>
      <color rgb="FFFFCC66"/>
      <color rgb="FFFFA200"/>
      <color rgb="FFFF00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533400</xdr:colOff>
      <xdr:row>2</xdr:row>
      <xdr:rowOff>142875</xdr:rowOff>
    </xdr:from>
    <xdr:to>
      <xdr:col>10</xdr:col>
      <xdr:colOff>850900</xdr:colOff>
      <xdr:row>5</xdr:row>
      <xdr:rowOff>57150</xdr:rowOff>
    </xdr:to>
    <xdr:pic>
      <xdr:nvPicPr>
        <xdr:cNvPr id="12" name="Picture 2">
          <a:extLst>
            <a:ext uri="{FF2B5EF4-FFF2-40B4-BE49-F238E27FC236}">
              <a16:creationId xmlns:a16="http://schemas.microsoft.com/office/drawing/2014/main" id="{63B2DB83-1087-6034-3E26-E0217AAE624A}"/>
            </a:ext>
          </a:extLst>
        </xdr:cNvPr>
        <xdr:cNvPicPr>
          <a:picLocks noChangeAspect="1"/>
        </xdr:cNvPicPr>
      </xdr:nvPicPr>
      <xdr:blipFill>
        <a:blip xmlns:r="http://schemas.openxmlformats.org/officeDocument/2006/relationships" r:embed="rId1"/>
        <a:stretch>
          <a:fillRect/>
        </a:stretch>
      </xdr:blipFill>
      <xdr:spPr>
        <a:xfrm>
          <a:off x="3019425" y="628650"/>
          <a:ext cx="2305050" cy="119062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DBA1-79A8-4C0E-B209-668349431220}">
  <sheetPr>
    <tabColor theme="2" tint="-9.9978637043366805E-2"/>
  </sheetPr>
  <dimension ref="B3:I33"/>
  <sheetViews>
    <sheetView showGridLines="0" zoomScale="74" workbookViewId="0">
      <selection activeCell="C10" sqref="C10:H16"/>
    </sheetView>
  </sheetViews>
  <sheetFormatPr defaultColWidth="9.125" defaultRowHeight="14.25"/>
  <cols>
    <col min="1" max="16384" width="9.125" style="18"/>
  </cols>
  <sheetData>
    <row r="3" spans="2:9">
      <c r="B3" s="15"/>
      <c r="C3" s="16"/>
      <c r="D3" s="16"/>
      <c r="E3" s="16"/>
      <c r="F3" s="16"/>
      <c r="G3" s="16"/>
      <c r="H3" s="16"/>
      <c r="I3" s="17"/>
    </row>
    <row r="4" spans="2:9">
      <c r="B4" s="19"/>
      <c r="I4" s="20"/>
    </row>
    <row r="5" spans="2:9">
      <c r="B5" s="19"/>
      <c r="D5" s="190" t="s">
        <v>0</v>
      </c>
      <c r="E5" s="190"/>
      <c r="F5" s="190"/>
      <c r="G5" s="190"/>
      <c r="I5" s="20"/>
    </row>
    <row r="6" spans="2:9">
      <c r="B6" s="19"/>
      <c r="D6" s="190"/>
      <c r="E6" s="190"/>
      <c r="F6" s="190"/>
      <c r="G6" s="190"/>
      <c r="I6" s="20"/>
    </row>
    <row r="7" spans="2:9">
      <c r="B7" s="19"/>
      <c r="D7" s="190"/>
      <c r="E7" s="190"/>
      <c r="F7" s="190"/>
      <c r="G7" s="190"/>
      <c r="I7" s="20"/>
    </row>
    <row r="8" spans="2:9">
      <c r="B8" s="19"/>
      <c r="D8" s="190"/>
      <c r="E8" s="190"/>
      <c r="F8" s="190"/>
      <c r="G8" s="190"/>
      <c r="I8" s="20"/>
    </row>
    <row r="9" spans="2:9">
      <c r="B9" s="19"/>
      <c r="I9" s="20"/>
    </row>
    <row r="10" spans="2:9">
      <c r="B10" s="19"/>
      <c r="C10" s="188" t="s">
        <v>1</v>
      </c>
      <c r="D10" s="189"/>
      <c r="E10" s="189"/>
      <c r="F10" s="189"/>
      <c r="G10" s="189"/>
      <c r="H10" s="189"/>
      <c r="I10" s="20"/>
    </row>
    <row r="11" spans="2:9">
      <c r="B11" s="19"/>
      <c r="C11" s="189"/>
      <c r="D11" s="189"/>
      <c r="E11" s="189"/>
      <c r="F11" s="189"/>
      <c r="G11" s="189"/>
      <c r="H11" s="189"/>
      <c r="I11" s="20"/>
    </row>
    <row r="12" spans="2:9">
      <c r="B12" s="19"/>
      <c r="C12" s="189"/>
      <c r="D12" s="189"/>
      <c r="E12" s="189"/>
      <c r="F12" s="189"/>
      <c r="G12" s="189"/>
      <c r="H12" s="189"/>
      <c r="I12" s="20"/>
    </row>
    <row r="13" spans="2:9">
      <c r="B13" s="19"/>
      <c r="C13" s="189"/>
      <c r="D13" s="189"/>
      <c r="E13" s="189"/>
      <c r="F13" s="189"/>
      <c r="G13" s="189"/>
      <c r="H13" s="189"/>
      <c r="I13" s="20"/>
    </row>
    <row r="14" spans="2:9">
      <c r="B14" s="19"/>
      <c r="C14" s="189"/>
      <c r="D14" s="189"/>
      <c r="E14" s="189"/>
      <c r="F14" s="189"/>
      <c r="G14" s="189"/>
      <c r="H14" s="189"/>
      <c r="I14" s="20"/>
    </row>
    <row r="15" spans="2:9">
      <c r="B15" s="19"/>
      <c r="C15" s="189"/>
      <c r="D15" s="189"/>
      <c r="E15" s="189"/>
      <c r="F15" s="189"/>
      <c r="G15" s="189"/>
      <c r="H15" s="189"/>
      <c r="I15" s="20"/>
    </row>
    <row r="16" spans="2:9">
      <c r="B16" s="19"/>
      <c r="C16" s="189"/>
      <c r="D16" s="189"/>
      <c r="E16" s="189"/>
      <c r="F16" s="189"/>
      <c r="G16" s="189"/>
      <c r="H16" s="189"/>
      <c r="I16" s="20"/>
    </row>
    <row r="17" spans="2:9">
      <c r="B17" s="19"/>
      <c r="I17" s="20"/>
    </row>
    <row r="18" spans="2:9">
      <c r="B18" s="19"/>
      <c r="I18" s="20"/>
    </row>
    <row r="19" spans="2:9">
      <c r="B19" s="19"/>
      <c r="I19" s="20"/>
    </row>
    <row r="20" spans="2:9">
      <c r="B20" s="19"/>
      <c r="I20" s="20"/>
    </row>
    <row r="21" spans="2:9">
      <c r="B21" s="19"/>
      <c r="I21" s="20"/>
    </row>
    <row r="22" spans="2:9">
      <c r="B22" s="19"/>
      <c r="I22" s="20"/>
    </row>
    <row r="23" spans="2:9">
      <c r="B23" s="19"/>
      <c r="I23" s="20"/>
    </row>
    <row r="24" spans="2:9">
      <c r="B24" s="19"/>
      <c r="I24" s="20"/>
    </row>
    <row r="25" spans="2:9">
      <c r="B25" s="19"/>
      <c r="C25" s="191" t="s">
        <v>2</v>
      </c>
      <c r="D25" s="192"/>
      <c r="E25" s="197"/>
      <c r="F25" s="198"/>
      <c r="G25" s="198"/>
      <c r="H25" s="199"/>
      <c r="I25" s="20"/>
    </row>
    <row r="26" spans="2:9">
      <c r="B26" s="19"/>
      <c r="C26" s="193" t="s">
        <v>3</v>
      </c>
      <c r="D26" s="194"/>
      <c r="E26" s="200"/>
      <c r="F26" s="201"/>
      <c r="G26" s="201"/>
      <c r="H26" s="202"/>
      <c r="I26" s="20"/>
    </row>
    <row r="27" spans="2:9">
      <c r="B27" s="19"/>
      <c r="C27" s="193" t="s">
        <v>4</v>
      </c>
      <c r="D27" s="194"/>
      <c r="E27" s="200"/>
      <c r="F27" s="201"/>
      <c r="G27" s="201"/>
      <c r="H27" s="202"/>
      <c r="I27" s="20"/>
    </row>
    <row r="28" spans="2:9">
      <c r="B28" s="19"/>
      <c r="C28" s="195" t="s">
        <v>5</v>
      </c>
      <c r="D28" s="196"/>
      <c r="E28" s="203"/>
      <c r="F28" s="204"/>
      <c r="G28" s="204"/>
      <c r="H28" s="205"/>
      <c r="I28" s="20"/>
    </row>
    <row r="29" spans="2:9">
      <c r="B29" s="19"/>
      <c r="I29" s="20"/>
    </row>
    <row r="30" spans="2:9">
      <c r="B30" s="19"/>
      <c r="I30" s="20"/>
    </row>
    <row r="31" spans="2:9">
      <c r="B31" s="19"/>
      <c r="I31" s="20"/>
    </row>
    <row r="32" spans="2:9">
      <c r="B32" s="19"/>
      <c r="I32" s="20"/>
    </row>
    <row r="33" spans="2:9">
      <c r="B33" s="21"/>
      <c r="C33" s="22"/>
      <c r="D33" s="22"/>
      <c r="E33" s="22"/>
      <c r="F33" s="22"/>
      <c r="G33" s="22"/>
      <c r="H33" s="22"/>
      <c r="I33" s="23"/>
    </row>
  </sheetData>
  <mergeCells count="10">
    <mergeCell ref="C28:D28"/>
    <mergeCell ref="E25:H25"/>
    <mergeCell ref="E26:H26"/>
    <mergeCell ref="E27:H27"/>
    <mergeCell ref="E28:H28"/>
    <mergeCell ref="C10:H16"/>
    <mergeCell ref="D5:G8"/>
    <mergeCell ref="C25:D25"/>
    <mergeCell ref="C26:D26"/>
    <mergeCell ref="C27:D27"/>
  </mergeCells>
  <pageMargins left="0.7" right="0.7" top="0.75" bottom="0.75" header="0.3" footer="0.3"/>
  <pageSetup paperSize="5"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DFD49-4692-4423-88F8-5E7BB1EFA26D}">
  <sheetPr>
    <tabColor rgb="FF94DCF8"/>
  </sheetPr>
  <dimension ref="B2:I22"/>
  <sheetViews>
    <sheetView showGridLines="0" topLeftCell="A5" zoomScale="86" zoomScaleNormal="100" workbookViewId="0">
      <selection activeCell="H34" sqref="H34"/>
    </sheetView>
  </sheetViews>
  <sheetFormatPr defaultColWidth="8.75" defaultRowHeight="14.25"/>
  <cols>
    <col min="1" max="1" width="8.75" style="1"/>
    <col min="2" max="2" width="23.75" style="1" customWidth="1"/>
    <col min="3" max="3" width="27.75" style="1" customWidth="1"/>
    <col min="4" max="4" width="20.375" style="1" customWidth="1"/>
    <col min="5" max="5" width="36.875" style="1" customWidth="1"/>
    <col min="6" max="6" width="23.25" style="1" customWidth="1"/>
    <col min="7" max="7" width="17.375" style="1" customWidth="1"/>
    <col min="8" max="8" width="34.25" style="1" customWidth="1"/>
    <col min="9" max="9" width="16.75" style="1" customWidth="1"/>
    <col min="10" max="26" width="8.75" style="1"/>
    <col min="27" max="27" width="23" style="1" customWidth="1"/>
    <col min="28" max="28" width="13.875" style="1" customWidth="1"/>
    <col min="29" max="16384" width="8.75" style="1"/>
  </cols>
  <sheetData>
    <row r="2" spans="2:9" ht="32.1" customHeight="1">
      <c r="B2" s="221" t="s">
        <v>6</v>
      </c>
      <c r="C2" s="221"/>
      <c r="D2" s="221"/>
      <c r="E2" s="221"/>
      <c r="F2" s="221"/>
      <c r="G2" s="221"/>
      <c r="H2" s="221"/>
      <c r="I2" s="221"/>
    </row>
    <row r="3" spans="2:9" s="2" customFormat="1" ht="18" customHeight="1">
      <c r="B3" s="223" t="s">
        <v>7</v>
      </c>
      <c r="C3" s="223"/>
      <c r="D3" s="223"/>
      <c r="E3" s="223"/>
      <c r="F3" s="223"/>
      <c r="G3" s="223"/>
      <c r="H3" s="223"/>
      <c r="I3" s="223"/>
    </row>
    <row r="4" spans="2:9">
      <c r="B4" s="11" t="s">
        <v>8</v>
      </c>
      <c r="C4" s="12"/>
      <c r="D4" s="13" t="s">
        <v>9</v>
      </c>
      <c r="E4" s="24"/>
      <c r="F4" s="13" t="s">
        <v>10</v>
      </c>
      <c r="G4" s="224"/>
      <c r="H4" s="224"/>
      <c r="I4" s="224"/>
    </row>
    <row r="5" spans="2:9">
      <c r="B5" s="230"/>
      <c r="C5" s="230"/>
      <c r="D5" s="230"/>
      <c r="E5" s="230"/>
      <c r="F5" s="230"/>
      <c r="G5" s="230"/>
      <c r="H5" s="230"/>
      <c r="I5" s="230"/>
    </row>
    <row r="6" spans="2:9" ht="14.45" customHeight="1">
      <c r="B6" s="227" t="s">
        <v>11</v>
      </c>
      <c r="C6" s="227"/>
      <c r="D6" s="227"/>
      <c r="E6" s="227"/>
      <c r="F6" s="227"/>
      <c r="G6" s="227"/>
      <c r="H6" s="227"/>
      <c r="I6" s="227"/>
    </row>
    <row r="7" spans="2:9" ht="17.45" customHeight="1">
      <c r="B7" s="9" t="s">
        <v>12</v>
      </c>
      <c r="C7" s="10" t="s">
        <v>13</v>
      </c>
      <c r="D7" s="229"/>
      <c r="E7" s="229"/>
      <c r="F7" s="229"/>
      <c r="G7" s="229"/>
      <c r="H7" s="229"/>
      <c r="I7" s="229"/>
    </row>
    <row r="8" spans="2:9" ht="17.45" customHeight="1">
      <c r="B8" s="8" t="s">
        <v>14</v>
      </c>
      <c r="C8" s="3" t="s">
        <v>15</v>
      </c>
      <c r="D8" s="215"/>
      <c r="E8" s="216"/>
      <c r="F8" s="216"/>
      <c r="G8" s="216"/>
      <c r="H8" s="216"/>
      <c r="I8" s="217"/>
    </row>
    <row r="9" spans="2:9" ht="17.45" customHeight="1">
      <c r="B9" s="8" t="s">
        <v>16</v>
      </c>
      <c r="C9" s="3" t="s">
        <v>17</v>
      </c>
      <c r="D9" s="208"/>
      <c r="E9" s="208"/>
      <c r="F9" s="208"/>
      <c r="G9" s="208"/>
      <c r="H9" s="208"/>
      <c r="I9" s="208"/>
    </row>
    <row r="10" spans="2:9" ht="17.45" customHeight="1">
      <c r="B10" s="8" t="s">
        <v>18</v>
      </c>
      <c r="C10" s="3" t="s">
        <v>19</v>
      </c>
      <c r="D10" s="208"/>
      <c r="E10" s="208"/>
      <c r="F10" s="208"/>
      <c r="G10" s="208"/>
      <c r="H10" s="208"/>
      <c r="I10" s="208"/>
    </row>
    <row r="11" spans="2:9">
      <c r="B11" s="214"/>
      <c r="C11" s="214"/>
      <c r="D11" s="214"/>
      <c r="E11" s="214"/>
      <c r="F11" s="214"/>
      <c r="G11" s="214"/>
      <c r="H11" s="214"/>
      <c r="I11" s="214"/>
    </row>
    <row r="12" spans="2:9">
      <c r="B12" s="228" t="s">
        <v>20</v>
      </c>
      <c r="C12" s="228"/>
      <c r="D12" s="228"/>
      <c r="E12" s="228"/>
      <c r="F12" s="228"/>
      <c r="G12" s="228"/>
      <c r="H12" s="228"/>
      <c r="I12" s="228"/>
    </row>
    <row r="13" spans="2:9" ht="24" customHeight="1">
      <c r="B13" s="207" t="s">
        <v>21</v>
      </c>
      <c r="C13" s="207"/>
      <c r="D13" s="225"/>
      <c r="E13" s="226"/>
      <c r="F13" s="226"/>
      <c r="G13" s="226"/>
      <c r="H13" s="226"/>
      <c r="I13" s="226"/>
    </row>
    <row r="14" spans="2:9" ht="30.75" customHeight="1">
      <c r="B14" s="222" t="s">
        <v>22</v>
      </c>
      <c r="C14" s="222"/>
      <c r="D14" s="222"/>
      <c r="E14" s="215"/>
      <c r="F14" s="216"/>
      <c r="G14" s="216"/>
      <c r="H14" s="216"/>
      <c r="I14" s="217"/>
    </row>
    <row r="15" spans="2:9">
      <c r="B15" s="218"/>
      <c r="C15" s="219"/>
      <c r="D15" s="219"/>
      <c r="E15" s="219"/>
      <c r="F15" s="219"/>
      <c r="G15" s="219"/>
      <c r="H15" s="219"/>
      <c r="I15" s="220"/>
    </row>
    <row r="16" spans="2:9" s="2" customFormat="1" ht="18" customHeight="1">
      <c r="B16" s="213" t="s">
        <v>23</v>
      </c>
      <c r="C16" s="213"/>
      <c r="D16" s="213"/>
      <c r="E16" s="213"/>
      <c r="F16" s="213"/>
      <c r="G16" s="213"/>
      <c r="H16" s="213"/>
      <c r="I16" s="213"/>
    </row>
    <row r="17" spans="2:9" ht="17.45" customHeight="1">
      <c r="B17" s="4" t="s">
        <v>24</v>
      </c>
      <c r="C17" s="208"/>
      <c r="D17" s="208"/>
      <c r="E17" s="208"/>
      <c r="F17" s="208"/>
      <c r="G17" s="208"/>
      <c r="H17" s="208"/>
      <c r="I17" s="208"/>
    </row>
    <row r="18" spans="2:9">
      <c r="B18" s="214"/>
      <c r="C18" s="214"/>
      <c r="D18" s="214"/>
      <c r="E18" s="214"/>
      <c r="F18" s="214"/>
      <c r="G18" s="214"/>
      <c r="H18" s="214"/>
      <c r="I18" s="214"/>
    </row>
    <row r="19" spans="2:9" s="2" customFormat="1" ht="18" customHeight="1">
      <c r="B19" s="213" t="s">
        <v>25</v>
      </c>
      <c r="C19" s="213"/>
      <c r="D19" s="213"/>
      <c r="E19" s="213"/>
      <c r="F19" s="213"/>
      <c r="G19" s="213"/>
      <c r="H19" s="213"/>
      <c r="I19" s="213"/>
    </row>
    <row r="20" spans="2:9" ht="17.45" customHeight="1">
      <c r="B20" s="209" t="s">
        <v>26</v>
      </c>
      <c r="C20" s="209"/>
      <c r="D20" s="210"/>
      <c r="E20" s="211"/>
      <c r="F20" s="212"/>
      <c r="G20" s="5" t="s">
        <v>27</v>
      </c>
      <c r="H20" s="7">
        <f>E4</f>
        <v>0</v>
      </c>
      <c r="I20" s="6" t="s">
        <v>28</v>
      </c>
    </row>
    <row r="21" spans="2:9" ht="17.45" customHeight="1">
      <c r="B21" s="207" t="s">
        <v>29</v>
      </c>
      <c r="C21" s="207"/>
      <c r="D21" s="208"/>
      <c r="E21" s="208"/>
      <c r="F21" s="208"/>
      <c r="G21" s="208"/>
      <c r="H21" s="208"/>
      <c r="I21" s="208"/>
    </row>
    <row r="22" spans="2:9" ht="17.45" customHeight="1">
      <c r="B22" s="206" t="s">
        <v>30</v>
      </c>
      <c r="C22" s="206"/>
      <c r="D22" s="206"/>
      <c r="E22" s="206"/>
      <c r="F22" s="206"/>
      <c r="G22" s="206"/>
      <c r="H22" s="206"/>
      <c r="I22" s="206"/>
    </row>
  </sheetData>
  <sheetProtection algorithmName="SHA-512" hashValue="j+QImzsdM1fyluWHkoQCbwwCPknA4GOh0Lj3ojnMovu+2reINi7R9YsEEREUpeWZ79FwicHPXUWU4T7K4utVdA==" saltValue="pm3r28LLAVowIzybdheL8g==" spinCount="100000" sheet="1" objects="1" scenarios="1"/>
  <protectedRanges>
    <protectedRange sqref="C4" name="Range1"/>
    <protectedRange sqref="E4" name="Range2"/>
    <protectedRange sqref="G4:I4" name="Range3"/>
    <protectedRange sqref="D7:I10" name="Range4"/>
    <protectedRange sqref="D13:I13" name="Range5"/>
    <protectedRange sqref="E14:I14" name="Range6"/>
    <protectedRange sqref="C17:I17" name="Range7"/>
    <protectedRange sqref="E20:F20" name="Range8"/>
    <protectedRange sqref="H20" name="Range9"/>
    <protectedRange sqref="D21:I21" name="Range10"/>
  </protectedRanges>
  <mergeCells count="25">
    <mergeCell ref="B2:I2"/>
    <mergeCell ref="B14:D14"/>
    <mergeCell ref="B3:I3"/>
    <mergeCell ref="G4:I4"/>
    <mergeCell ref="D13:I13"/>
    <mergeCell ref="B6:I6"/>
    <mergeCell ref="B12:I12"/>
    <mergeCell ref="B13:C13"/>
    <mergeCell ref="D7:I7"/>
    <mergeCell ref="B5:I5"/>
    <mergeCell ref="D8:I8"/>
    <mergeCell ref="D9:I9"/>
    <mergeCell ref="D10:I10"/>
    <mergeCell ref="B11:I11"/>
    <mergeCell ref="B16:I16"/>
    <mergeCell ref="B19:I19"/>
    <mergeCell ref="C17:I17"/>
    <mergeCell ref="B18:I18"/>
    <mergeCell ref="E14:I14"/>
    <mergeCell ref="B15:I15"/>
    <mergeCell ref="B22:I22"/>
    <mergeCell ref="B21:C21"/>
    <mergeCell ref="D21:I21"/>
    <mergeCell ref="B20:D20"/>
    <mergeCell ref="E20:F20"/>
  </mergeCells>
  <dataValidations count="12">
    <dataValidation type="list" allowBlank="1" showInputMessage="1" showErrorMessage="1" sqref="C4" xr:uid="{C15BFB96-2DE0-4511-A858-C842DB1A7732}">
      <formula1>"Purely System-Based,Filing System, Hybrid System"</formula1>
    </dataValidation>
    <dataValidation allowBlank="1" showInputMessage="1" showErrorMessage="1" promptTitle="Insert all that's applicable" prompt="collection, use, storage, sharing, and/or disposal" sqref="H20" xr:uid="{12F41894-1125-4AF0-8804-E574B6E998EB}"/>
    <dataValidation allowBlank="1" showInputMessage="1" showErrorMessage="1" prompt="Input Organization Name" sqref="G4" xr:uid="{22E11340-F2DC-4252-88DD-4C70A5345FA1}"/>
    <dataValidation allowBlank="1" showInputMessage="1" showErrorMessage="1" prompt="e.g., online forms, surveys, direct submissions" sqref="D7" xr:uid="{CE4DB491-A6F2-4607-811F-A0E5059E2ECE}"/>
    <dataValidation allowBlank="1" showInputMessage="1" showErrorMessage="1" prompt="e.g., service delivery, research, compliance" sqref="D8" xr:uid="{1733AB12-0020-476A-853F-D30703C99160}"/>
    <dataValidation allowBlank="1" showInputMessage="1" showErrorMessage="1" prompt="e.g., centralized database with access controls" sqref="D9" xr:uid="{E8A44CA8-FD21-4261-AE95-B85D59A57013}"/>
    <dataValidation allowBlank="1" showInputMessage="1" showErrorMessage="1" prompt="e.g., retention policy and legal requirements" sqref="D10" xr:uid="{449527C3-53E2-4E7B-8A66-ED3F975B20F8}"/>
    <dataValidation allowBlank="1" showInputMessage="1" showErrorMessage="1" prompt="Specify the programs" sqref="D13" xr:uid="{C27A4744-3B12-4E57-8672-CB576A2CABF6}"/>
    <dataValidation allowBlank="1" showInputMessage="1" showErrorMessage="1" prompt="e.g., streamline data management, protect personal data, and support organizational goals while ensuring the rights of data subjects." sqref="C17" xr:uid="{662534C4-9BC4-44DB-9D51-F1BC2D41CBFF}"/>
    <dataValidation allowBlank="1" showInputMessage="1" showErrorMessage="1" prompt="Input System/Project Name" sqref="E20:F20" xr:uid="{ED6897E4-39B8-422F-B486-56DBDC324E05}"/>
    <dataValidation allowBlank="1" showInputMessage="1" showErrorMessage="1" promptTitle="Insert all that's applicable " prompt="collection, use, storage, sharing, and/or disposal" sqref="E4" xr:uid="{82565C62-C27C-4C05-A35A-D6E457369F99}"/>
    <dataValidation type="list" allowBlank="1" showInputMessage="1" showErrorMessage="1" sqref="D21:I21" xr:uid="{75492E07-E435-4416-807D-401B463C052C}">
      <formula1>"consent management., data sharing., consent management and data sharing."</formula1>
    </dataValidation>
  </dataValidations>
  <pageMargins left="0.7" right="0.7" top="0.75" bottom="0.75" header="0.3" footer="0.3"/>
  <pageSetup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F9055-9272-455A-8C10-793110FA12BE}">
  <sheetPr codeName="Sheet10">
    <tabColor rgb="FFFFB5E3"/>
  </sheetPr>
  <dimension ref="B2:J19"/>
  <sheetViews>
    <sheetView showGridLines="0" topLeftCell="C1" zoomScaleNormal="100" workbookViewId="0">
      <selection activeCell="E15" sqref="E15"/>
    </sheetView>
  </sheetViews>
  <sheetFormatPr defaultColWidth="9.125" defaultRowHeight="14.25"/>
  <cols>
    <col min="1" max="1" width="4" style="18" customWidth="1"/>
    <col min="2" max="2" width="4.375" style="18" customWidth="1"/>
    <col min="3" max="3" width="95.75" style="18" customWidth="1"/>
    <col min="4" max="4" width="9.375" style="18" customWidth="1"/>
    <col min="5" max="5" width="60.125" style="18" customWidth="1"/>
    <col min="6" max="6" width="9.125" style="18"/>
    <col min="7" max="7" width="8.75" style="18" customWidth="1"/>
    <col min="8" max="8" width="7.25" style="18" customWidth="1"/>
    <col min="9" max="9" width="20.625" style="18" customWidth="1"/>
    <col min="10" max="16384" width="9.125" style="18"/>
  </cols>
  <sheetData>
    <row r="2" spans="2:7" ht="34.5" customHeight="1">
      <c r="B2" s="231" t="s">
        <v>31</v>
      </c>
      <c r="C2" s="231"/>
      <c r="D2" s="231"/>
      <c r="E2" s="231"/>
    </row>
    <row r="3" spans="2:7" ht="15">
      <c r="B3" s="26" t="s">
        <v>32</v>
      </c>
      <c r="C3" s="26" t="s">
        <v>33</v>
      </c>
      <c r="D3" s="26" t="s">
        <v>34</v>
      </c>
      <c r="E3" s="26" t="s">
        <v>35</v>
      </c>
    </row>
    <row r="4" spans="2:7" ht="32.25" customHeight="1">
      <c r="B4" s="27">
        <v>1</v>
      </c>
      <c r="C4" s="28" t="s">
        <v>36</v>
      </c>
      <c r="D4" s="29"/>
      <c r="E4" s="30"/>
    </row>
    <row r="5" spans="2:7" ht="32.25" customHeight="1">
      <c r="B5" s="27">
        <v>2</v>
      </c>
      <c r="C5" s="31" t="s">
        <v>37</v>
      </c>
      <c r="D5" s="29"/>
      <c r="E5" s="32"/>
      <c r="G5" s="33"/>
    </row>
    <row r="6" spans="2:7" ht="32.25" customHeight="1">
      <c r="B6" s="27">
        <v>3</v>
      </c>
      <c r="C6" s="34" t="s">
        <v>38</v>
      </c>
      <c r="D6" s="29"/>
      <c r="E6" s="30"/>
    </row>
    <row r="7" spans="2:7" ht="32.25" customHeight="1">
      <c r="B7" s="27">
        <v>4</v>
      </c>
      <c r="C7" s="35" t="s">
        <v>39</v>
      </c>
      <c r="D7" s="29"/>
      <c r="E7" s="30"/>
    </row>
    <row r="8" spans="2:7" ht="32.25" customHeight="1">
      <c r="B8" s="27">
        <v>5</v>
      </c>
      <c r="C8" s="35" t="s">
        <v>40</v>
      </c>
      <c r="D8" s="29"/>
      <c r="E8" s="30"/>
    </row>
    <row r="9" spans="2:7" ht="32.25" customHeight="1">
      <c r="B9" s="27">
        <v>6</v>
      </c>
      <c r="C9" s="28" t="s">
        <v>41</v>
      </c>
      <c r="D9" s="29"/>
      <c r="E9" s="30"/>
    </row>
    <row r="10" spans="2:7" ht="32.25" customHeight="1">
      <c r="B10" s="36">
        <v>7</v>
      </c>
      <c r="C10" s="37" t="s">
        <v>42</v>
      </c>
      <c r="D10" s="29"/>
      <c r="E10" s="38"/>
    </row>
    <row r="11" spans="2:7" ht="32.25" customHeight="1">
      <c r="B11" s="27">
        <v>8</v>
      </c>
      <c r="C11" s="31" t="s">
        <v>43</v>
      </c>
      <c r="D11" s="29"/>
      <c r="E11" s="30"/>
    </row>
    <row r="12" spans="2:7" ht="32.25" customHeight="1">
      <c r="B12" s="27">
        <v>9</v>
      </c>
      <c r="C12" s="28" t="s">
        <v>44</v>
      </c>
      <c r="D12" s="29"/>
      <c r="E12" s="30"/>
    </row>
    <row r="13" spans="2:7" ht="32.25" customHeight="1">
      <c r="B13" s="27">
        <v>10</v>
      </c>
      <c r="C13" s="31" t="s">
        <v>45</v>
      </c>
      <c r="D13" s="29"/>
      <c r="E13" s="30"/>
    </row>
    <row r="14" spans="2:7" ht="32.25" customHeight="1">
      <c r="B14" s="36">
        <v>11</v>
      </c>
      <c r="C14" s="39" t="s">
        <v>46</v>
      </c>
      <c r="D14" s="29"/>
      <c r="E14" s="38"/>
    </row>
    <row r="15" spans="2:7" ht="32.25" customHeight="1">
      <c r="B15" s="27">
        <v>12</v>
      </c>
      <c r="C15" s="31" t="s">
        <v>47</v>
      </c>
      <c r="D15" s="29"/>
      <c r="E15" s="32"/>
    </row>
    <row r="16" spans="2:7">
      <c r="D16" s="40"/>
    </row>
    <row r="17" spans="3:10" ht="15">
      <c r="C17" s="41" t="s">
        <v>48</v>
      </c>
      <c r="D17" s="42" t="str">
        <f>IF(OR(AND(D4="Yes", COUNTIF(D5:D15, "Yes")&gt;0), AND(D4="No", D5="Yes", COUNTIF(D5:D15, "Yes")&gt;0)), "Yes", "No")</f>
        <v>No</v>
      </c>
      <c r="E17" s="43" t="str">
        <f>IF(D17="Yes", "PIA Required - Proceed to the next section", IF(D17="No", "PIA Not Required - Proceed to Sign-Off",""))</f>
        <v>PIA Not Required - Proceed to Sign-Off</v>
      </c>
    </row>
    <row r="19" spans="3:10" ht="15">
      <c r="E19" s="44"/>
      <c r="G19" s="33"/>
      <c r="H19" s="33"/>
      <c r="I19" s="33"/>
      <c r="J19" s="33"/>
    </row>
  </sheetData>
  <sheetProtection algorithmName="SHA-512" hashValue="W73zcBaQbr/I6Iq6+nQaSUEl3JxunTmPmgPP3wbMopKYDiG4IDP6V0xxCpZIPZHxWhDARi5+OyNJXYYSNVZ/Fg==" saltValue="D9E2kYPfliAvP5263MMk1A==" spinCount="100000" sheet="1" objects="1" scenarios="1"/>
  <protectedRanges>
    <protectedRange sqref="D4:E15" name="Range1"/>
  </protectedRanges>
  <mergeCells count="1">
    <mergeCell ref="B2:E2"/>
  </mergeCells>
  <dataValidations count="10">
    <dataValidation type="list" allowBlank="1" showInputMessage="1" showErrorMessage="1" sqref="D4:D15" xr:uid="{C29B60B6-2709-4809-9948-223311B24065}">
      <formula1>"Yes,No"</formula1>
    </dataValidation>
    <dataValidation allowBlank="1" showInputMessage="1" showErrorMessage="1" prompt="e.g. name, contact details (home address, phone no., personal email) IP address, online/offline identifier (username, social media, password, photo, signature), voice/voice pattern, professional/employment details (company, position, work email &amp; address)" sqref="E4" xr:uid="{F3728447-9B20-4460-9A0A-DA6DA39D0D00}"/>
    <dataValidation allowBlank="1" showInputMessage="1" showErrorMessage="1" prompt="e.g., children, employees, elderly, patients, PWD, asylum seekers" sqref="E7" xr:uid="{FA304520-91F3-40CE-A16F-85494B1FA52C}"/>
    <dataValidation type="list" allowBlank="1" showInputMessage="1" showErrorMessage="1" prompt="Low (&lt;250), medium (&lt;1000), high (1000+) " sqref="E8" xr:uid="{034BB99C-3103-4A3D-AD90-5FFEFAF25D9C}">
      <formula1>"Low (&lt;250), Medium (&lt;1000), High (1000+) "</formula1>
    </dataValidation>
    <dataValidation allowBlank="1" showInputMessage="1" showErrorMessage="1" prompt="e.g., Microsoft Excel, Google Sheets, Microsoft Word, Zoom, Adobe Acrobat, etc." sqref="E9" xr:uid="{233490C1-9114-43D1-82D9-75A4914610E4}"/>
    <dataValidation allowBlank="1" showInputMessage="1" showErrorMessage="1" prompt="e.g., biometrics, facial recognition or Internet of Things" sqref="E13" xr:uid="{E087F06E-B281-45FD-8386-A301B2F8A3E9}"/>
    <dataValidation allowBlank="1" showInputMessage="1" showErrorMessage="1" prompt="e.g., processing leads to discrimination against individuals, work performance evaluation" sqref="E14" xr:uid="{7616F265-6156-454D-85DC-B6309871B44F}"/>
    <dataValidation allowBlank="1" showInputMessage="1" showErrorMessage="1" prompt="e.g., disqualifies someone for a benefit, loan disapproval" sqref="E15" xr:uid="{EF87AC34-552B-4081-AB0B-B0ADFC5DD214}"/>
    <dataValidation allowBlank="1" showInputMessage="1" showErrorMessage="1" prompt="e.g., race, ethnicity, marital status, age, color, religion, politics, health education, genetics, sexual life, legal matters, gov’t issued no., classified by law. " sqref="E5" xr:uid="{A2E38DD8-D898-4900-B667-96D04998FD69}"/>
    <dataValidation allowBlank="1" showInputMessage="1" showErrorMessage="1" sqref="D17" xr:uid="{4047268F-7247-4A16-B87C-24943265A458}"/>
  </dataValidation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1B86-8271-496E-8A65-EAFE7281B80E}">
  <sheetPr codeName="Sheet3">
    <tabColor rgb="FFFFB5E3"/>
  </sheetPr>
  <dimension ref="B2:E19"/>
  <sheetViews>
    <sheetView showGridLines="0" topLeftCell="C1" zoomScale="120" workbookViewId="0">
      <selection activeCell="E4" sqref="E4"/>
    </sheetView>
  </sheetViews>
  <sheetFormatPr defaultColWidth="9.125" defaultRowHeight="14.25"/>
  <cols>
    <col min="1" max="1" width="9.125" style="18"/>
    <col min="2" max="2" width="29.25" style="18" customWidth="1"/>
    <col min="3" max="3" width="26.375" style="18" customWidth="1"/>
    <col min="4" max="4" width="49.75" style="18" customWidth="1"/>
    <col min="5" max="5" width="54.875" style="18" customWidth="1"/>
    <col min="6" max="16384" width="9.125" style="18"/>
  </cols>
  <sheetData>
    <row r="2" spans="2:5" ht="39.75" customHeight="1">
      <c r="B2" s="231" t="s">
        <v>49</v>
      </c>
      <c r="C2" s="232"/>
      <c r="D2" s="232"/>
      <c r="E2" s="232"/>
    </row>
    <row r="3" spans="2:5" ht="15">
      <c r="B3" s="45" t="s">
        <v>50</v>
      </c>
      <c r="C3" s="26" t="s">
        <v>51</v>
      </c>
      <c r="D3" s="26" t="s">
        <v>52</v>
      </c>
      <c r="E3" s="26" t="s">
        <v>53</v>
      </c>
    </row>
    <row r="4" spans="2:5">
      <c r="B4" s="46"/>
      <c r="C4" s="30"/>
      <c r="D4" s="30"/>
      <c r="E4" s="30"/>
    </row>
    <row r="5" spans="2:5">
      <c r="B5" s="46"/>
      <c r="C5" s="30"/>
      <c r="D5" s="30"/>
      <c r="E5" s="30"/>
    </row>
    <row r="6" spans="2:5">
      <c r="B6" s="46"/>
      <c r="C6" s="30"/>
      <c r="D6" s="30"/>
      <c r="E6" s="30"/>
    </row>
    <row r="7" spans="2:5">
      <c r="B7" s="46"/>
      <c r="C7" s="30"/>
      <c r="D7" s="30"/>
      <c r="E7" s="30"/>
    </row>
    <row r="8" spans="2:5">
      <c r="B8" s="46"/>
      <c r="C8" s="30"/>
      <c r="D8" s="30"/>
      <c r="E8" s="30"/>
    </row>
    <row r="9" spans="2:5">
      <c r="B9" s="46"/>
      <c r="C9" s="30"/>
      <c r="D9" s="30"/>
      <c r="E9" s="30"/>
    </row>
    <row r="10" spans="2:5">
      <c r="B10" s="46"/>
      <c r="C10" s="30"/>
      <c r="D10" s="30"/>
      <c r="E10" s="30"/>
    </row>
    <row r="11" spans="2:5">
      <c r="B11" s="46"/>
      <c r="C11" s="30"/>
      <c r="D11" s="30"/>
      <c r="E11" s="30"/>
    </row>
    <row r="12" spans="2:5">
      <c r="B12" s="46"/>
      <c r="C12" s="30"/>
      <c r="D12" s="30"/>
      <c r="E12" s="30"/>
    </row>
    <row r="13" spans="2:5">
      <c r="B13" s="46"/>
      <c r="C13" s="30"/>
      <c r="D13" s="30"/>
      <c r="E13" s="30"/>
    </row>
    <row r="14" spans="2:5">
      <c r="B14" s="46"/>
      <c r="C14" s="30"/>
      <c r="D14" s="30"/>
      <c r="E14" s="30"/>
    </row>
    <row r="19" spans="4:4">
      <c r="D19" s="44"/>
    </row>
  </sheetData>
  <sheetProtection algorithmName="SHA-512" hashValue="2g+ModhZjh0vka+gWhaEnOD+stFmMHwYSr3KIgTyIjEvchzPmT0PMME80XoaIGLEphoKuwOOMzIDhRgbTOv+NA==" saltValue="YTEGxf6HgUfG2/PH0o/iSA==" spinCount="100000" sheet="1" objects="1" scenarios="1"/>
  <protectedRanges>
    <protectedRange sqref="B4:E14" name="Range1"/>
  </protectedRanges>
  <mergeCells count="1">
    <mergeCell ref="B2:E2"/>
  </mergeCells>
  <dataValidations count="4">
    <dataValidation allowBlank="1" showInputMessage="1" showErrorMessage="1" prompt="State all project stakeholders, consulted in conducting PIA. Identify which part they were involved. " sqref="B4:B14" xr:uid="{C6F78071-79AE-458D-B45F-007679B8CAD0}"/>
    <dataValidation allowBlank="1" showInputMessage="1" showErrorMessage="1" prompt="e.g. IT Security Lead, HR Representative, Legal Counsel, Data Subject Representative, Data Protection Officer (DPO), Project/System Owner." sqref="C9 C4:C5 C6 C7 C10 C12 C11 C13 C14" xr:uid="{80971692-C807-486A-B414-8366BB3322EB}"/>
    <dataValidation allowBlank="1" showInputMessage="1" showErrorMessage="1" prompt="e.g. reviewed technical security measures, shared employee data processes, reviewed contracts (outsourcing, data sharing, NDAs), gave feedback on data handling, oversaw privacy risk assessment, provide project scope and details" sqref="D12:D14 D4:D6 D8:D10 D7 D11" xr:uid="{DD0D6859-48F1-4982-A478-04DB35AB1B0A}"/>
    <dataValidation allowBlank="1" showInputMessage="1" showErrorMessage="1" prompt="e.g. recommend encryption improvements, advised on consent procedures, ensured data protection clauses were included, requested procedure on how to exercise data subject rights, recommended PIA documentation and monitoring" sqref="E4:E14" xr:uid="{032CF3D5-9FB1-46BA-9135-8946B62FFDA3}"/>
  </dataValidation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E0983-7E1F-4AFF-B61C-3FCF510CBC38}">
  <sheetPr>
    <tabColor rgb="FF7030A0"/>
  </sheetPr>
  <dimension ref="A2:J108"/>
  <sheetViews>
    <sheetView showGridLines="0" topLeftCell="G61" zoomScale="80" zoomScaleNormal="80" workbookViewId="0">
      <selection activeCell="J78" sqref="J78"/>
    </sheetView>
  </sheetViews>
  <sheetFormatPr defaultColWidth="9.125" defaultRowHeight="15" customHeight="1"/>
  <cols>
    <col min="1" max="1" width="28.625" style="18" customWidth="1"/>
    <col min="2" max="2" width="32.875" style="18" customWidth="1"/>
    <col min="3" max="3" width="29.75" style="18" customWidth="1"/>
    <col min="4" max="4" width="30.75" style="18" customWidth="1"/>
    <col min="5" max="5" width="16.625" style="18" customWidth="1"/>
    <col min="6" max="6" width="25" style="18" customWidth="1"/>
    <col min="7" max="7" width="35.125" style="18" customWidth="1"/>
    <col min="8" max="8" width="32.875" style="18" customWidth="1"/>
    <col min="9" max="9" width="30.625" style="18" customWidth="1"/>
    <col min="10" max="10" width="17.375" style="18" customWidth="1"/>
    <col min="11" max="11" width="36.625" style="18" bestFit="1" customWidth="1"/>
    <col min="12" max="16384" width="9.125" style="18"/>
  </cols>
  <sheetData>
    <row r="2" spans="1:10" ht="18">
      <c r="B2" s="231" t="s">
        <v>54</v>
      </c>
      <c r="C2" s="231"/>
      <c r="D2" s="231"/>
      <c r="E2" s="231"/>
      <c r="F2" s="231"/>
      <c r="G2" s="47"/>
      <c r="H2" s="47"/>
      <c r="I2" s="47"/>
      <c r="J2" s="47"/>
    </row>
    <row r="3" spans="1:10" ht="18">
      <c r="B3" s="231"/>
      <c r="C3" s="231"/>
      <c r="D3" s="231"/>
      <c r="E3" s="231"/>
      <c r="F3" s="231"/>
      <c r="G3" s="47"/>
      <c r="H3" s="47"/>
      <c r="I3" s="47"/>
      <c r="J3" s="47"/>
    </row>
    <row r="4" spans="1:10" ht="22.5" customHeight="1">
      <c r="B4" s="48" t="s">
        <v>55</v>
      </c>
      <c r="C4" s="256"/>
      <c r="D4" s="256"/>
      <c r="E4" s="256"/>
      <c r="F4" s="256"/>
      <c r="G4" s="50"/>
      <c r="H4" s="50"/>
      <c r="I4" s="50"/>
      <c r="J4" s="50"/>
    </row>
    <row r="5" spans="1:10" ht="14.25">
      <c r="B5" s="51" t="s">
        <v>56</v>
      </c>
      <c r="C5" s="256"/>
      <c r="D5" s="256"/>
      <c r="E5" s="256"/>
      <c r="F5" s="256"/>
      <c r="G5" s="50"/>
      <c r="H5" s="50"/>
      <c r="I5" s="50"/>
      <c r="J5" s="50"/>
    </row>
    <row r="6" spans="1:10" ht="31.5" customHeight="1">
      <c r="B6" s="257" t="s">
        <v>57</v>
      </c>
      <c r="C6" s="257"/>
      <c r="D6" s="258" t="s">
        <v>58</v>
      </c>
      <c r="E6" s="258"/>
      <c r="F6" s="258"/>
      <c r="G6" s="44"/>
      <c r="H6" s="44"/>
      <c r="I6" s="44"/>
      <c r="J6" s="44"/>
    </row>
    <row r="7" spans="1:10" ht="19.5" customHeight="1">
      <c r="B7" s="263"/>
      <c r="C7" s="263"/>
      <c r="D7" s="263"/>
      <c r="E7" s="263"/>
      <c r="F7" s="263"/>
      <c r="G7" s="44"/>
      <c r="H7" s="44"/>
      <c r="I7" s="44"/>
      <c r="J7" s="44"/>
    </row>
    <row r="8" spans="1:10" ht="14.25">
      <c r="B8" s="264" t="s">
        <v>59</v>
      </c>
      <c r="C8" s="265"/>
      <c r="D8" s="264" t="s">
        <v>60</v>
      </c>
      <c r="E8" s="266"/>
      <c r="F8" s="265"/>
      <c r="G8" s="50"/>
      <c r="H8" s="50"/>
      <c r="I8" s="50"/>
      <c r="J8" s="50"/>
    </row>
    <row r="9" spans="1:10" ht="37.5" customHeight="1">
      <c r="B9" s="267"/>
      <c r="C9" s="256"/>
      <c r="D9" s="256"/>
      <c r="E9" s="256"/>
      <c r="F9" s="256"/>
      <c r="G9" s="50"/>
      <c r="H9" s="50"/>
      <c r="I9" s="50"/>
      <c r="J9" s="50"/>
    </row>
    <row r="10" spans="1:10" ht="14.25">
      <c r="B10" s="259" t="s">
        <v>61</v>
      </c>
      <c r="C10" s="259"/>
      <c r="D10" s="259"/>
      <c r="E10" s="259"/>
      <c r="F10" s="259"/>
      <c r="G10" s="53"/>
      <c r="H10" s="53"/>
      <c r="I10" s="53"/>
      <c r="J10" s="53"/>
    </row>
    <row r="11" spans="1:10" ht="22.5" customHeight="1">
      <c r="B11" s="256"/>
      <c r="C11" s="260"/>
      <c r="D11" s="260"/>
      <c r="E11" s="260"/>
      <c r="F11" s="260"/>
      <c r="I11" s="44"/>
      <c r="J11" s="53"/>
    </row>
    <row r="12" spans="1:10" ht="33" customHeight="1">
      <c r="B12" s="54" t="s">
        <v>62</v>
      </c>
      <c r="C12" s="55" t="s">
        <v>63</v>
      </c>
      <c r="D12" s="270" t="s">
        <v>64</v>
      </c>
      <c r="E12" s="270"/>
      <c r="F12" s="56" t="s">
        <v>65</v>
      </c>
      <c r="I12" s="44"/>
      <c r="J12" s="44"/>
    </row>
    <row r="13" spans="1:10" ht="33" customHeight="1">
      <c r="A13" s="57"/>
      <c r="B13" s="273" t="s">
        <v>66</v>
      </c>
      <c r="C13" s="59"/>
      <c r="D13" s="271"/>
      <c r="E13" s="272"/>
      <c r="F13" s="59"/>
      <c r="I13" s="44"/>
      <c r="J13" s="61"/>
    </row>
    <row r="14" spans="1:10" ht="33" customHeight="1">
      <c r="A14" s="57"/>
      <c r="B14" s="271"/>
      <c r="C14" s="14"/>
      <c r="D14" s="271"/>
      <c r="E14" s="272"/>
      <c r="F14" s="14"/>
      <c r="I14" s="44"/>
      <c r="J14" s="61"/>
    </row>
    <row r="15" spans="1:10" ht="43.5" customHeight="1">
      <c r="B15" s="274" t="s">
        <v>67</v>
      </c>
      <c r="C15" s="60"/>
      <c r="D15" s="271"/>
      <c r="E15" s="272"/>
      <c r="F15" s="59"/>
      <c r="G15" s="44"/>
      <c r="H15" s="44"/>
      <c r="I15" s="63"/>
      <c r="J15" s="63"/>
    </row>
    <row r="16" spans="1:10" ht="43.5" customHeight="1">
      <c r="B16" s="275"/>
      <c r="C16" s="64"/>
      <c r="D16" s="271"/>
      <c r="E16" s="272"/>
      <c r="F16" s="65"/>
      <c r="G16" s="44"/>
      <c r="H16" s="44"/>
      <c r="I16" s="63"/>
      <c r="J16" s="63"/>
    </row>
    <row r="17" spans="2:10" ht="33" customHeight="1">
      <c r="B17" s="62" t="s">
        <v>68</v>
      </c>
      <c r="C17" s="66"/>
      <c r="D17" s="271"/>
      <c r="E17" s="272"/>
      <c r="F17" s="62"/>
      <c r="G17" s="67"/>
      <c r="H17" s="67"/>
      <c r="I17" s="63"/>
      <c r="J17" s="63"/>
    </row>
    <row r="18" spans="2:10" ht="34.5" customHeight="1">
      <c r="B18" s="261" t="s">
        <v>69</v>
      </c>
      <c r="C18" s="261"/>
      <c r="D18" s="68"/>
      <c r="E18" s="268"/>
      <c r="F18" s="269"/>
      <c r="G18" s="44"/>
      <c r="H18" s="44"/>
    </row>
    <row r="19" spans="2:10" ht="18" customHeight="1">
      <c r="B19" s="262" t="s">
        <v>70</v>
      </c>
      <c r="C19" s="262"/>
      <c r="D19" s="248"/>
      <c r="E19" s="254"/>
      <c r="F19" s="249"/>
    </row>
    <row r="20" spans="2:10" s="40" customFormat="1" ht="18" customHeight="1">
      <c r="B20" s="298" t="s">
        <v>71</v>
      </c>
      <c r="C20" s="298"/>
      <c r="D20" s="299" t="s">
        <v>72</v>
      </c>
      <c r="E20" s="300"/>
      <c r="F20" s="71" t="s">
        <v>73</v>
      </c>
    </row>
    <row r="21" spans="2:10" ht="18" customHeight="1">
      <c r="B21" s="325"/>
      <c r="C21" s="325"/>
      <c r="D21" s="325"/>
      <c r="E21" s="325"/>
      <c r="F21" s="72"/>
    </row>
    <row r="22" spans="2:10">
      <c r="B22" s="285" t="s">
        <v>74</v>
      </c>
      <c r="C22" s="285"/>
      <c r="D22" s="285"/>
      <c r="E22" s="285"/>
      <c r="F22" s="285"/>
      <c r="G22" s="33"/>
      <c r="H22" s="33"/>
      <c r="I22" s="33"/>
      <c r="J22" s="33"/>
    </row>
    <row r="23" spans="2:10">
      <c r="B23" s="286"/>
      <c r="C23" s="286"/>
      <c r="D23" s="286"/>
      <c r="E23" s="286"/>
      <c r="F23" s="286"/>
      <c r="G23" s="33"/>
      <c r="H23" s="33"/>
      <c r="I23" s="33"/>
      <c r="J23" s="33"/>
    </row>
    <row r="24" spans="2:10" ht="14.1" customHeight="1">
      <c r="B24" s="326" t="s">
        <v>75</v>
      </c>
      <c r="C24" s="326"/>
      <c r="D24" s="326" t="s">
        <v>72</v>
      </c>
      <c r="E24" s="326"/>
      <c r="F24" s="73" t="s">
        <v>73</v>
      </c>
      <c r="G24" s="33"/>
      <c r="H24" s="33"/>
      <c r="I24" s="33"/>
      <c r="J24" s="33"/>
    </row>
    <row r="25" spans="2:10">
      <c r="B25" s="325"/>
      <c r="C25" s="325"/>
      <c r="D25" s="325"/>
      <c r="E25" s="325"/>
      <c r="F25" s="72"/>
      <c r="G25" s="33"/>
      <c r="H25" s="33"/>
      <c r="I25" s="33"/>
      <c r="J25" s="33"/>
    </row>
    <row r="26" spans="2:10">
      <c r="B26" s="262" t="s">
        <v>76</v>
      </c>
      <c r="C26" s="262"/>
      <c r="D26" s="256"/>
      <c r="E26" s="256"/>
      <c r="F26" s="256"/>
      <c r="G26" s="33"/>
      <c r="H26" s="33"/>
      <c r="I26" s="33"/>
      <c r="J26" s="33"/>
    </row>
    <row r="27" spans="2:10" ht="14.1" customHeight="1">
      <c r="B27" s="257" t="s">
        <v>77</v>
      </c>
      <c r="C27" s="257"/>
      <c r="D27" s="289"/>
      <c r="E27" s="289"/>
      <c r="F27" s="289"/>
      <c r="G27" s="33"/>
      <c r="H27" s="33"/>
      <c r="I27" s="33"/>
      <c r="J27" s="33"/>
    </row>
    <row r="28" spans="2:10" ht="37.5" customHeight="1">
      <c r="B28" s="258" t="s">
        <v>78</v>
      </c>
      <c r="C28" s="258"/>
      <c r="D28" s="289"/>
      <c r="E28" s="289"/>
      <c r="F28" s="289"/>
    </row>
    <row r="29" spans="2:10" ht="20.25" customHeight="1">
      <c r="B29" s="288" t="s">
        <v>79</v>
      </c>
      <c r="C29" s="288"/>
      <c r="D29" s="288"/>
      <c r="E29" s="287" t="str">
        <f>IF($D$28="No", "N/A", IF($D$28="Automated decision-making", "Insert details below", IF($D$28="Profiling", "Insert details below", IF($D$28="Both", "Insert details below",""))))</f>
        <v/>
      </c>
      <c r="F29" s="287"/>
    </row>
    <row r="30" spans="2:10" ht="20.25" customHeight="1">
      <c r="B30" s="282"/>
      <c r="C30" s="283"/>
      <c r="D30" s="283"/>
      <c r="E30" s="283"/>
      <c r="F30" s="284"/>
    </row>
    <row r="31" spans="2:10" ht="20.25" customHeight="1">
      <c r="B31" s="288" t="s">
        <v>80</v>
      </c>
      <c r="C31" s="288"/>
      <c r="D31" s="288"/>
      <c r="E31" s="287" t="str">
        <f>IF($D$28="No", "N/A", IF($D$28="Automated decision-making", "Insert details below", IF($D$28="Profiling", "Insert details below", IF($D$28="Both", "Insert details below",""))))</f>
        <v/>
      </c>
      <c r="F31" s="287"/>
    </row>
    <row r="32" spans="2:10" ht="20.25" customHeight="1">
      <c r="B32" s="282"/>
      <c r="C32" s="283"/>
      <c r="D32" s="283"/>
      <c r="E32" s="283"/>
      <c r="F32" s="284"/>
    </row>
    <row r="33" spans="2:10" ht="20.25" customHeight="1">
      <c r="B33" s="255" t="s">
        <v>81</v>
      </c>
      <c r="C33" s="255"/>
      <c r="D33" s="224"/>
      <c r="E33" s="224"/>
      <c r="F33" s="224"/>
    </row>
    <row r="34" spans="2:10" ht="20.25" customHeight="1">
      <c r="B34" s="255" t="s">
        <v>82</v>
      </c>
      <c r="C34" s="255"/>
      <c r="D34" s="224"/>
      <c r="E34" s="224"/>
      <c r="F34" s="224"/>
    </row>
    <row r="35" spans="2:10" ht="20.25" customHeight="1">
      <c r="B35" s="282"/>
      <c r="C35" s="283"/>
      <c r="D35" s="283"/>
      <c r="E35" s="283"/>
      <c r="F35" s="284"/>
    </row>
    <row r="36" spans="2:10" ht="20.25" customHeight="1">
      <c r="B36" s="288" t="s">
        <v>83</v>
      </c>
      <c r="C36" s="288"/>
      <c r="D36" s="288"/>
      <c r="E36" s="287" t="str">
        <f>IF($D$28="No", "N/A", IF($D$28="Automated decision-making", "Insert details below", IF($D$28="Profiling", "Insert details below", IF($D$28="Both", "Insert details below",""))))</f>
        <v/>
      </c>
      <c r="F36" s="287"/>
    </row>
    <row r="37" spans="2:10" ht="20.25" customHeight="1">
      <c r="B37" s="282"/>
      <c r="C37" s="283"/>
      <c r="D37" s="283"/>
      <c r="E37" s="283"/>
      <c r="F37" s="284"/>
    </row>
    <row r="38" spans="2:10" ht="20.25" customHeight="1">
      <c r="B38" s="288" t="s">
        <v>84</v>
      </c>
      <c r="C38" s="288"/>
      <c r="D38" s="288"/>
      <c r="E38" s="287" t="str">
        <f>IF($D$28="No", "N/A", IF($D$28="Automated decision-making", "Insert details below", IF($D$28="Profiling", "Insert details below", IF($D$28="Both", "Insert details below",""))))</f>
        <v/>
      </c>
      <c r="F38" s="287"/>
    </row>
    <row r="39" spans="2:10" ht="20.25" customHeight="1">
      <c r="B39" s="282"/>
      <c r="C39" s="283"/>
      <c r="D39" s="283"/>
      <c r="E39" s="283"/>
      <c r="F39" s="284"/>
    </row>
    <row r="40" spans="2:10" ht="38.25" customHeight="1">
      <c r="B40" s="270" t="s">
        <v>85</v>
      </c>
      <c r="C40" s="270"/>
      <c r="D40" s="270"/>
      <c r="E40" s="327" t="str">
        <f>IF($D$28="No", "N/A", IF($D$28="Automated decision-making", "Insert details below", IF($D$28="Profiling", "Insert details below", IF($D$28="Both", "Insert details below",""))))</f>
        <v/>
      </c>
      <c r="F40" s="327"/>
    </row>
    <row r="41" spans="2:10" ht="20.25" customHeight="1">
      <c r="B41" s="295"/>
      <c r="C41" s="296"/>
      <c r="D41" s="296"/>
      <c r="E41" s="296"/>
      <c r="F41" s="297"/>
    </row>
    <row r="42" spans="2:10" ht="19.5" customHeight="1">
      <c r="B42" s="290" t="s">
        <v>86</v>
      </c>
      <c r="C42" s="290"/>
      <c r="D42" s="290"/>
      <c r="E42" s="290"/>
      <c r="F42" s="290"/>
      <c r="G42" s="67"/>
      <c r="H42" s="67"/>
      <c r="J42" s="33"/>
    </row>
    <row r="43" spans="2:10" ht="19.5" customHeight="1">
      <c r="B43" s="291" t="s">
        <v>87</v>
      </c>
      <c r="C43" s="291"/>
      <c r="D43" s="291"/>
      <c r="E43" s="291"/>
      <c r="F43" s="291"/>
      <c r="G43" s="44"/>
      <c r="H43" s="44"/>
    </row>
    <row r="44" spans="2:10" ht="19.5" customHeight="1">
      <c r="B44" s="279"/>
      <c r="C44" s="280"/>
      <c r="D44" s="280"/>
      <c r="E44" s="280"/>
      <c r="F44" s="281"/>
    </row>
    <row r="45" spans="2:10" ht="19.5" customHeight="1">
      <c r="B45" s="292" t="s">
        <v>88</v>
      </c>
      <c r="C45" s="293"/>
      <c r="D45" s="293"/>
      <c r="E45" s="293"/>
      <c r="F45" s="294"/>
      <c r="G45" s="44"/>
      <c r="H45" s="44"/>
    </row>
    <row r="46" spans="2:10" ht="19.5" customHeight="1">
      <c r="B46" s="279"/>
      <c r="C46" s="280"/>
      <c r="D46" s="280"/>
      <c r="E46" s="280"/>
      <c r="F46" s="281"/>
    </row>
    <row r="47" spans="2:10" ht="19.5" customHeight="1">
      <c r="B47" s="276" t="s">
        <v>89</v>
      </c>
      <c r="C47" s="277"/>
      <c r="D47" s="277"/>
      <c r="E47" s="277"/>
      <c r="F47" s="278"/>
      <c r="G47" s="44"/>
      <c r="H47" s="44"/>
    </row>
    <row r="48" spans="2:10" ht="19.5" customHeight="1">
      <c r="B48" s="279"/>
      <c r="C48" s="280"/>
      <c r="D48" s="280"/>
      <c r="E48" s="280"/>
      <c r="F48" s="281"/>
    </row>
    <row r="49" spans="1:10">
      <c r="D49" s="33"/>
      <c r="E49" s="33"/>
      <c r="F49" s="33"/>
      <c r="G49" s="33"/>
      <c r="H49" s="33"/>
      <c r="I49" s="33"/>
      <c r="J49" s="33"/>
    </row>
    <row r="50" spans="1:10">
      <c r="D50" s="33"/>
      <c r="E50" s="33"/>
      <c r="F50" s="33"/>
      <c r="G50" s="33"/>
      <c r="H50" s="33"/>
      <c r="I50" s="33"/>
      <c r="J50" s="33"/>
    </row>
    <row r="51" spans="1:10" ht="14.25">
      <c r="B51" s="231" t="s">
        <v>90</v>
      </c>
      <c r="C51" s="231"/>
      <c r="D51" s="231"/>
      <c r="E51" s="231"/>
      <c r="F51" s="231"/>
      <c r="G51" s="231"/>
      <c r="H51" s="231"/>
      <c r="I51" s="231"/>
      <c r="J51" s="231"/>
    </row>
    <row r="52" spans="1:10" ht="14.25">
      <c r="B52" s="232"/>
      <c r="C52" s="232"/>
      <c r="D52" s="232"/>
      <c r="E52" s="232"/>
      <c r="F52" s="232"/>
      <c r="G52" s="232"/>
      <c r="H52" s="232"/>
      <c r="I52" s="232"/>
      <c r="J52" s="232"/>
    </row>
    <row r="53" spans="1:10">
      <c r="B53" s="328" t="s">
        <v>91</v>
      </c>
      <c r="C53" s="328"/>
      <c r="D53" s="328"/>
      <c r="E53" s="328"/>
      <c r="F53" s="328"/>
      <c r="G53" s="328"/>
      <c r="H53" s="328"/>
      <c r="I53" s="328"/>
      <c r="J53" s="328"/>
    </row>
    <row r="54" spans="1:10" ht="14.25">
      <c r="B54" s="241" t="s">
        <v>92</v>
      </c>
      <c r="C54" s="253"/>
      <c r="D54" s="253"/>
      <c r="E54" s="242"/>
      <c r="F54" s="239" t="s">
        <v>93</v>
      </c>
      <c r="G54" s="239"/>
      <c r="H54" s="241" t="s">
        <v>94</v>
      </c>
      <c r="I54" s="253"/>
      <c r="J54" s="242"/>
    </row>
    <row r="55" spans="1:10" ht="14.25">
      <c r="A55" s="77"/>
      <c r="B55" s="248"/>
      <c r="C55" s="254"/>
      <c r="D55" s="254"/>
      <c r="E55" s="249"/>
      <c r="F55" s="224"/>
      <c r="G55" s="224"/>
      <c r="H55" s="248"/>
      <c r="I55" s="254"/>
      <c r="J55" s="249"/>
    </row>
    <row r="56" spans="1:10" ht="14.25">
      <c r="A56" s="77"/>
      <c r="B56" s="248"/>
      <c r="C56" s="254"/>
      <c r="D56" s="254"/>
      <c r="E56" s="249"/>
      <c r="F56" s="224"/>
      <c r="G56" s="224"/>
      <c r="H56" s="248"/>
      <c r="I56" s="254"/>
      <c r="J56" s="249"/>
    </row>
    <row r="57" spans="1:10" ht="14.25">
      <c r="A57" s="77"/>
      <c r="B57" s="248"/>
      <c r="C57" s="254"/>
      <c r="D57" s="254"/>
      <c r="E57" s="249"/>
      <c r="F57" s="224"/>
      <c r="G57" s="224"/>
      <c r="H57" s="248"/>
      <c r="I57" s="254"/>
      <c r="J57" s="249"/>
    </row>
    <row r="58" spans="1:10">
      <c r="B58" s="240" t="s">
        <v>95</v>
      </c>
      <c r="C58" s="240"/>
      <c r="D58" s="240"/>
      <c r="E58" s="240"/>
      <c r="F58" s="240"/>
      <c r="G58" s="240"/>
      <c r="H58" s="240"/>
      <c r="I58" s="240"/>
      <c r="J58" s="240"/>
    </row>
    <row r="59" spans="1:10" ht="14.25">
      <c r="B59" s="241" t="s">
        <v>96</v>
      </c>
      <c r="C59" s="242"/>
      <c r="D59" s="241" t="s">
        <v>97</v>
      </c>
      <c r="E59" s="253"/>
      <c r="F59" s="242"/>
      <c r="G59" s="241" t="s">
        <v>98</v>
      </c>
      <c r="H59" s="242"/>
      <c r="I59" s="241" t="s">
        <v>23</v>
      </c>
      <c r="J59" s="242"/>
    </row>
    <row r="60" spans="1:10" ht="19.5" customHeight="1">
      <c r="B60" s="309"/>
      <c r="C60" s="310"/>
      <c r="D60" s="311"/>
      <c r="E60" s="312"/>
      <c r="F60" s="313"/>
      <c r="G60" s="329"/>
      <c r="H60" s="330"/>
      <c r="I60" s="314"/>
      <c r="J60" s="315"/>
    </row>
    <row r="61" spans="1:10" ht="19.5" customHeight="1">
      <c r="B61" s="289"/>
      <c r="C61" s="289"/>
      <c r="D61" s="312"/>
      <c r="E61" s="312"/>
      <c r="F61" s="313"/>
      <c r="G61" s="329"/>
      <c r="H61" s="330"/>
      <c r="I61" s="316"/>
      <c r="J61" s="317"/>
    </row>
    <row r="62" spans="1:10" ht="19.5" customHeight="1">
      <c r="B62" s="301"/>
      <c r="C62" s="302"/>
      <c r="D62" s="303"/>
      <c r="E62" s="304"/>
      <c r="F62" s="305"/>
      <c r="G62" s="329"/>
      <c r="H62" s="330"/>
      <c r="I62" s="306"/>
      <c r="J62" s="307"/>
    </row>
    <row r="63" spans="1:10" ht="19.5" customHeight="1">
      <c r="B63" s="248"/>
      <c r="C63" s="249"/>
      <c r="D63" s="248"/>
      <c r="E63" s="254"/>
      <c r="F63" s="249"/>
      <c r="G63" s="329"/>
      <c r="H63" s="330"/>
      <c r="I63" s="248"/>
      <c r="J63" s="249"/>
    </row>
    <row r="64" spans="1:10" ht="19.5" customHeight="1">
      <c r="B64" s="248"/>
      <c r="C64" s="249"/>
      <c r="D64" s="248"/>
      <c r="E64" s="254"/>
      <c r="F64" s="249"/>
      <c r="G64" s="329"/>
      <c r="H64" s="330"/>
      <c r="I64" s="248"/>
      <c r="J64" s="249"/>
    </row>
    <row r="65" spans="1:10" ht="19.5" customHeight="1">
      <c r="B65" s="248"/>
      <c r="C65" s="249"/>
      <c r="D65" s="248"/>
      <c r="E65" s="254"/>
      <c r="F65" s="249"/>
      <c r="G65" s="329"/>
      <c r="H65" s="330"/>
      <c r="I65" s="248"/>
      <c r="J65" s="249"/>
    </row>
    <row r="66" spans="1:10" ht="19.5" customHeight="1">
      <c r="B66" s="248"/>
      <c r="C66" s="249"/>
      <c r="D66" s="248"/>
      <c r="E66" s="254"/>
      <c r="F66" s="249"/>
      <c r="G66" s="329"/>
      <c r="H66" s="330"/>
      <c r="I66" s="248"/>
      <c r="J66" s="249"/>
    </row>
    <row r="67" spans="1:10" ht="19.5" customHeight="1">
      <c r="B67" s="248"/>
      <c r="C67" s="249"/>
      <c r="D67" s="248"/>
      <c r="E67" s="254"/>
      <c r="F67" s="249"/>
      <c r="G67" s="329"/>
      <c r="H67" s="330"/>
      <c r="I67" s="248"/>
      <c r="J67" s="249"/>
    </row>
    <row r="68" spans="1:10" ht="19.5" customHeight="1">
      <c r="B68" s="248"/>
      <c r="C68" s="249"/>
      <c r="D68" s="248"/>
      <c r="E68" s="254"/>
      <c r="F68" s="249"/>
      <c r="G68" s="329"/>
      <c r="H68" s="330"/>
      <c r="I68" s="248"/>
      <c r="J68" s="249"/>
    </row>
    <row r="69" spans="1:10" ht="19.5" customHeight="1">
      <c r="B69" s="245"/>
      <c r="C69" s="247"/>
      <c r="D69" s="245"/>
      <c r="E69" s="246"/>
      <c r="F69" s="247"/>
      <c r="G69" s="329"/>
      <c r="H69" s="330"/>
      <c r="I69" s="245"/>
      <c r="J69" s="247"/>
    </row>
    <row r="70" spans="1:10">
      <c r="B70" s="308" t="s">
        <v>99</v>
      </c>
      <c r="C70" s="308"/>
      <c r="D70" s="308"/>
      <c r="E70" s="308"/>
      <c r="F70" s="308"/>
      <c r="G70" s="308"/>
      <c r="H70" s="308"/>
      <c r="I70" s="308"/>
      <c r="J70" s="308"/>
    </row>
    <row r="71" spans="1:10" ht="28.5">
      <c r="B71" s="56" t="s">
        <v>100</v>
      </c>
      <c r="C71" s="56" t="s">
        <v>101</v>
      </c>
      <c r="D71" s="270" t="s">
        <v>102</v>
      </c>
      <c r="E71" s="270"/>
      <c r="F71" s="233" t="s">
        <v>103</v>
      </c>
      <c r="G71" s="234"/>
      <c r="H71" s="56" t="s">
        <v>74</v>
      </c>
      <c r="I71" s="252" t="s">
        <v>104</v>
      </c>
      <c r="J71" s="252"/>
    </row>
    <row r="72" spans="1:10" ht="20.25" customHeight="1">
      <c r="B72" s="251" t="s">
        <v>105</v>
      </c>
      <c r="C72" s="12"/>
      <c r="D72" s="324" t="s">
        <v>106</v>
      </c>
      <c r="E72" s="324"/>
      <c r="F72" s="235" t="s">
        <v>106</v>
      </c>
      <c r="G72" s="236"/>
      <c r="H72" s="83" t="s">
        <v>106</v>
      </c>
      <c r="I72" s="243" t="s">
        <v>106</v>
      </c>
      <c r="J72" s="244"/>
    </row>
    <row r="73" spans="1:10" ht="20.25" customHeight="1">
      <c r="B73" s="251"/>
      <c r="C73" s="74"/>
      <c r="D73" s="324" t="s">
        <v>106</v>
      </c>
      <c r="E73" s="324"/>
      <c r="F73" s="235" t="s">
        <v>106</v>
      </c>
      <c r="G73" s="236"/>
      <c r="H73" s="83" t="s">
        <v>106</v>
      </c>
      <c r="I73" s="243" t="s">
        <v>106</v>
      </c>
      <c r="J73" s="244"/>
    </row>
    <row r="74" spans="1:10" ht="31.5" customHeight="1">
      <c r="B74" s="250" t="s">
        <v>107</v>
      </c>
      <c r="C74" s="59"/>
      <c r="D74" s="275"/>
      <c r="E74" s="275"/>
      <c r="F74" s="237"/>
      <c r="G74" s="238"/>
      <c r="H74" s="85"/>
      <c r="I74" s="237"/>
      <c r="J74" s="238"/>
    </row>
    <row r="75" spans="1:10" ht="23.25" customHeight="1">
      <c r="B75" s="251"/>
      <c r="C75" s="74"/>
      <c r="D75" s="224"/>
      <c r="E75" s="224"/>
      <c r="F75" s="237"/>
      <c r="G75" s="238"/>
      <c r="H75" s="68"/>
      <c r="I75" s="237"/>
      <c r="J75" s="238"/>
    </row>
    <row r="76" spans="1:10" ht="14.1" customHeight="1">
      <c r="B76" s="86" t="s">
        <v>108</v>
      </c>
      <c r="C76" s="87"/>
      <c r="D76" s="87"/>
      <c r="E76" s="88"/>
      <c r="F76" s="88"/>
      <c r="G76" s="89"/>
      <c r="H76" s="89"/>
      <c r="I76" s="89"/>
      <c r="J76" s="90"/>
    </row>
    <row r="77" spans="1:10" ht="37.5" customHeight="1">
      <c r="B77" s="56" t="s">
        <v>109</v>
      </c>
      <c r="C77" s="76" t="s">
        <v>110</v>
      </c>
      <c r="D77" s="241" t="s">
        <v>111</v>
      </c>
      <c r="E77" s="242"/>
      <c r="F77" s="75" t="s">
        <v>112</v>
      </c>
      <c r="G77" s="54" t="s">
        <v>113</v>
      </c>
      <c r="H77" s="91" t="s">
        <v>114</v>
      </c>
      <c r="I77" s="233" t="s">
        <v>115</v>
      </c>
      <c r="J77" s="323"/>
    </row>
    <row r="78" spans="1:10" ht="18" customHeight="1">
      <c r="A78" s="44"/>
      <c r="B78" s="14"/>
      <c r="C78" s="12"/>
      <c r="D78" s="12"/>
      <c r="E78" s="69"/>
      <c r="F78" s="92"/>
      <c r="G78" s="12"/>
      <c r="H78" s="69"/>
      <c r="I78" s="69"/>
      <c r="J78" s="12"/>
    </row>
    <row r="79" spans="1:10" ht="18" customHeight="1">
      <c r="B79" s="14"/>
      <c r="C79" s="12"/>
      <c r="D79" s="12"/>
      <c r="E79" s="69"/>
      <c r="F79" s="92"/>
      <c r="G79" s="12"/>
      <c r="H79" s="69"/>
      <c r="I79" s="69"/>
      <c r="J79" s="12"/>
    </row>
    <row r="80" spans="1:10" ht="18" customHeight="1">
      <c r="B80" s="85"/>
      <c r="C80" s="84"/>
      <c r="D80" s="12"/>
      <c r="E80" s="69"/>
      <c r="F80" s="92"/>
      <c r="G80" s="12"/>
      <c r="H80" s="69"/>
      <c r="I80" s="69"/>
      <c r="J80" s="12"/>
    </row>
    <row r="81" spans="2:10" ht="18" customHeight="1">
      <c r="B81" s="12"/>
      <c r="C81" s="70"/>
      <c r="D81" s="12"/>
      <c r="E81" s="69"/>
      <c r="F81" s="92"/>
      <c r="G81" s="12"/>
      <c r="H81" s="69"/>
      <c r="I81" s="69"/>
      <c r="J81" s="12"/>
    </row>
    <row r="82" spans="2:10" ht="18" customHeight="1">
      <c r="B82" s="12"/>
      <c r="C82" s="70"/>
      <c r="D82" s="12"/>
      <c r="E82" s="69"/>
      <c r="F82" s="92"/>
      <c r="G82" s="12"/>
      <c r="H82" s="69"/>
      <c r="I82" s="69"/>
      <c r="J82" s="12"/>
    </row>
    <row r="83" spans="2:10" ht="18" customHeight="1">
      <c r="B83" s="68"/>
      <c r="C83" s="70"/>
      <c r="D83" s="12"/>
      <c r="E83" s="69"/>
      <c r="F83" s="93"/>
      <c r="G83" s="12"/>
      <c r="H83" s="69"/>
      <c r="I83" s="69"/>
      <c r="J83" s="12"/>
    </row>
    <row r="84" spans="2:10" ht="18" customHeight="1">
      <c r="B84" s="12"/>
      <c r="C84" s="82"/>
      <c r="D84" s="68"/>
      <c r="E84" s="69"/>
      <c r="F84" s="93"/>
      <c r="G84" s="12"/>
      <c r="H84" s="69"/>
      <c r="I84" s="69"/>
      <c r="J84" s="12"/>
    </row>
    <row r="85" spans="2:10" ht="18" customHeight="1">
      <c r="B85" s="69"/>
      <c r="C85" s="12"/>
      <c r="D85" s="12"/>
      <c r="E85" s="69"/>
      <c r="F85" s="92"/>
      <c r="G85" s="12"/>
      <c r="H85" s="69"/>
      <c r="I85" s="69"/>
      <c r="J85" s="12"/>
    </row>
    <row r="86" spans="2:10" ht="18" customHeight="1">
      <c r="B86" s="69"/>
      <c r="C86" s="12"/>
      <c r="D86" s="12"/>
      <c r="E86" s="69"/>
      <c r="F86" s="92"/>
      <c r="G86" s="12"/>
      <c r="H86" s="69"/>
      <c r="I86" s="69"/>
      <c r="J86" s="12"/>
    </row>
    <row r="87" spans="2:10" ht="18" customHeight="1">
      <c r="B87" s="69"/>
      <c r="C87" s="12"/>
      <c r="D87" s="12"/>
      <c r="E87" s="69"/>
      <c r="F87" s="69"/>
      <c r="G87" s="12"/>
      <c r="H87" s="69"/>
      <c r="I87" s="69"/>
      <c r="J87" s="12"/>
    </row>
    <row r="88" spans="2:10" ht="14.25">
      <c r="D88" s="50"/>
      <c r="E88" s="50"/>
    </row>
    <row r="90" spans="2:10" ht="14.1" customHeight="1">
      <c r="B90" s="318"/>
      <c r="C90" s="318"/>
      <c r="D90" s="319"/>
      <c r="E90" s="319"/>
      <c r="F90" s="319"/>
      <c r="G90" s="95"/>
      <c r="H90" s="95"/>
    </row>
    <row r="91" spans="2:10" ht="14.25">
      <c r="B91" s="318"/>
      <c r="C91" s="318"/>
      <c r="D91" s="319"/>
      <c r="E91" s="319"/>
      <c r="F91" s="319"/>
      <c r="G91" s="95"/>
      <c r="H91" s="95"/>
    </row>
    <row r="92" spans="2:10" ht="14.25">
      <c r="B92" s="318"/>
      <c r="C92" s="318"/>
      <c r="D92" s="319"/>
      <c r="E92" s="319"/>
      <c r="F92" s="319"/>
      <c r="G92" s="95"/>
      <c r="H92" s="95"/>
    </row>
    <row r="93" spans="2:10" ht="14.25">
      <c r="B93" s="318"/>
      <c r="C93" s="318"/>
      <c r="D93" s="319"/>
      <c r="E93" s="319"/>
      <c r="F93" s="319"/>
      <c r="G93" s="95"/>
      <c r="H93" s="95"/>
    </row>
    <row r="94" spans="2:10" ht="14.25">
      <c r="B94" s="318"/>
      <c r="C94" s="318"/>
      <c r="D94" s="319"/>
      <c r="E94" s="319"/>
      <c r="F94" s="319"/>
      <c r="G94" s="95"/>
      <c r="H94" s="95"/>
    </row>
    <row r="95" spans="2:10" ht="14.25">
      <c r="B95" s="319"/>
      <c r="C95" s="319"/>
      <c r="D95" s="319"/>
      <c r="E95" s="319"/>
      <c r="F95" s="319"/>
      <c r="G95" s="96"/>
      <c r="H95" s="96"/>
    </row>
    <row r="96" spans="2:10" ht="14.25">
      <c r="B96" s="320"/>
      <c r="C96" s="320"/>
      <c r="D96" s="320"/>
      <c r="E96" s="320"/>
      <c r="F96" s="320"/>
    </row>
    <row r="97" spans="2:6" ht="14.25">
      <c r="B97" s="320"/>
      <c r="C97" s="320"/>
      <c r="D97" s="320"/>
      <c r="E97" s="320"/>
      <c r="F97" s="320"/>
    </row>
    <row r="98" spans="2:6" ht="14.25">
      <c r="B98" s="320"/>
      <c r="C98" s="320"/>
      <c r="D98" s="320"/>
      <c r="E98" s="320"/>
      <c r="F98" s="320"/>
    </row>
    <row r="99" spans="2:6" ht="14.25">
      <c r="B99" s="320"/>
      <c r="C99" s="320"/>
      <c r="D99" s="320"/>
      <c r="E99" s="320"/>
      <c r="F99" s="320"/>
    </row>
    <row r="100" spans="2:6" ht="14.25">
      <c r="B100" s="322"/>
      <c r="C100" s="322"/>
      <c r="D100" s="319"/>
      <c r="E100" s="319"/>
      <c r="F100" s="319"/>
    </row>
    <row r="101" spans="2:6" ht="14.25">
      <c r="B101" s="322"/>
      <c r="C101" s="322"/>
      <c r="D101" s="319"/>
      <c r="E101" s="319"/>
      <c r="F101" s="319"/>
    </row>
    <row r="102" spans="2:6" ht="14.25">
      <c r="B102" s="322"/>
      <c r="C102" s="322"/>
      <c r="D102" s="319"/>
      <c r="E102" s="319"/>
      <c r="F102" s="319"/>
    </row>
    <row r="103" spans="2:6" ht="14.25">
      <c r="B103" s="320"/>
      <c r="C103" s="320"/>
      <c r="D103" s="320"/>
      <c r="E103" s="320"/>
      <c r="F103" s="320"/>
    </row>
    <row r="104" spans="2:6" ht="14.25">
      <c r="B104" s="320"/>
      <c r="C104" s="320"/>
      <c r="D104" s="320"/>
      <c r="E104" s="320"/>
      <c r="F104" s="320"/>
    </row>
    <row r="105" spans="2:6" ht="14.25">
      <c r="B105" s="320"/>
      <c r="C105" s="320"/>
      <c r="D105" s="320"/>
      <c r="E105" s="320"/>
      <c r="F105" s="320"/>
    </row>
    <row r="106" spans="2:6" ht="14.25">
      <c r="B106" s="320"/>
      <c r="C106" s="320"/>
      <c r="D106" s="320"/>
      <c r="E106" s="320"/>
      <c r="F106" s="320"/>
    </row>
    <row r="107" spans="2:6" ht="29.1" customHeight="1">
      <c r="B107" s="321"/>
      <c r="C107" s="321"/>
      <c r="D107" s="321"/>
      <c r="E107" s="321"/>
      <c r="F107" s="321"/>
    </row>
    <row r="108" spans="2:6" ht="14.25">
      <c r="B108" s="320"/>
      <c r="C108" s="320"/>
      <c r="D108" s="320"/>
      <c r="E108" s="320"/>
      <c r="F108" s="320"/>
    </row>
  </sheetData>
  <sheetProtection algorithmName="SHA-512" hashValue="7xOrx70qKwqXyfqjEIEYZyt2mFBM8+FGfg5mVfopDtfold3Q956hHPbfiLjQnoHaFUq9TqpB3GJQBzvkR+7JMg==" saltValue="wU0uHjgsPEvOja4nalA0rg==" spinCount="100000" sheet="1" objects="1" scenarios="1"/>
  <protectedRanges>
    <protectedRange algorithmName="SHA-512" hashValue="WukSPcOQtec+8kXhr7w35VEj/sTvhS0qrM4d9szyqLhFsCfjFcneueJ/obm/WF4qgPHPa7qZhvM0KaSxoJpyxw==" saltValue="SeE2SIEQaehYzCnTA8iplQ==" spinCount="100000" sqref="B18:C19" name="Range7"/>
    <protectedRange sqref="C4:F5" name="Range9"/>
    <protectedRange sqref="B7:F7" name="Range4"/>
    <protectedRange sqref="B9:F9" name="Range5"/>
    <protectedRange sqref="B9:F9" name="Range8"/>
    <protectedRange sqref="E18 D18:D19 E19:F19" name="Range11"/>
    <protectedRange sqref="B23:F23" name="Range13"/>
    <protectedRange sqref="B25:F25 B21:F21" name="Range14"/>
    <protectedRange sqref="D26:F28" name="Range16"/>
    <protectedRange sqref="B30:F30 B32:F32 B35:F35 B37:F37 B39:F39 B41:F41" name="Range17"/>
    <protectedRange sqref="D33:F34" name="Range19"/>
    <protectedRange sqref="B44:F44" name="Range24"/>
    <protectedRange sqref="B46:F46" name="Range25"/>
    <protectedRange sqref="B48:F48" name="Range26"/>
    <protectedRange sqref="D55:G57 J55:J57" name="Range27"/>
    <protectedRange sqref="B60:J69" name="Range28"/>
    <protectedRange sqref="C72:C75" name="Range29"/>
    <protectedRange sqref="B78:J87" name="Range31"/>
    <protectedRange sqref="B11:F11" name="Range32"/>
    <protectedRange sqref="F13:F17" name="Range20"/>
    <protectedRange sqref="C13:E17" name="Range21"/>
    <protectedRange sqref="E18" name="Range22"/>
    <protectedRange sqref="D34" name="Range23"/>
    <protectedRange sqref="B55:G57 J55:J57" name="Range30"/>
    <protectedRange sqref="D74:J75" name="Range33"/>
    <protectedRange sqref="H55:I57" name="Range27_1"/>
  </protectedRanges>
  <mergeCells count="174">
    <mergeCell ref="H55:J55"/>
    <mergeCell ref="H56:J56"/>
    <mergeCell ref="H57:J57"/>
    <mergeCell ref="G68:H68"/>
    <mergeCell ref="G69:H69"/>
    <mergeCell ref="B59:C59"/>
    <mergeCell ref="G59:H59"/>
    <mergeCell ref="G60:H60"/>
    <mergeCell ref="G61:H61"/>
    <mergeCell ref="G62:H62"/>
    <mergeCell ref="G63:H63"/>
    <mergeCell ref="G64:H64"/>
    <mergeCell ref="G65:H65"/>
    <mergeCell ref="G66:H66"/>
    <mergeCell ref="G67:H67"/>
    <mergeCell ref="B34:C34"/>
    <mergeCell ref="E36:F36"/>
    <mergeCell ref="B36:D36"/>
    <mergeCell ref="E38:F38"/>
    <mergeCell ref="B38:D38"/>
    <mergeCell ref="B40:D40"/>
    <mergeCell ref="E40:F40"/>
    <mergeCell ref="B53:J53"/>
    <mergeCell ref="H54:J54"/>
    <mergeCell ref="D26:F26"/>
    <mergeCell ref="B27:C27"/>
    <mergeCell ref="D27:F27"/>
    <mergeCell ref="B21:C21"/>
    <mergeCell ref="B24:C24"/>
    <mergeCell ref="D24:E24"/>
    <mergeCell ref="D25:E25"/>
    <mergeCell ref="B25:C25"/>
    <mergeCell ref="D21:E21"/>
    <mergeCell ref="B95:F95"/>
    <mergeCell ref="B96:F96"/>
    <mergeCell ref="B97:F97"/>
    <mergeCell ref="B98:F98"/>
    <mergeCell ref="B99:F99"/>
    <mergeCell ref="B92:C92"/>
    <mergeCell ref="I66:J66"/>
    <mergeCell ref="D92:F92"/>
    <mergeCell ref="I67:J67"/>
    <mergeCell ref="I68:J68"/>
    <mergeCell ref="I69:J69"/>
    <mergeCell ref="B66:C66"/>
    <mergeCell ref="B68:C68"/>
    <mergeCell ref="B67:C67"/>
    <mergeCell ref="B69:C69"/>
    <mergeCell ref="I77:J77"/>
    <mergeCell ref="D71:E71"/>
    <mergeCell ref="D72:E72"/>
    <mergeCell ref="D73:E73"/>
    <mergeCell ref="D74:E74"/>
    <mergeCell ref="D75:E75"/>
    <mergeCell ref="I74:J74"/>
    <mergeCell ref="I75:J75"/>
    <mergeCell ref="B72:B73"/>
    <mergeCell ref="B108:F108"/>
    <mergeCell ref="B103:F103"/>
    <mergeCell ref="B104:F104"/>
    <mergeCell ref="B105:F105"/>
    <mergeCell ref="B106:F106"/>
    <mergeCell ref="B107:F107"/>
    <mergeCell ref="B100:C100"/>
    <mergeCell ref="D100:F100"/>
    <mergeCell ref="B101:C101"/>
    <mergeCell ref="D101:F101"/>
    <mergeCell ref="B102:C102"/>
    <mergeCell ref="D102:F102"/>
    <mergeCell ref="B93:C93"/>
    <mergeCell ref="D93:F93"/>
    <mergeCell ref="B94:C94"/>
    <mergeCell ref="D94:F94"/>
    <mergeCell ref="B90:C90"/>
    <mergeCell ref="D90:F90"/>
    <mergeCell ref="B91:C91"/>
    <mergeCell ref="D91:F91"/>
    <mergeCell ref="D77:E77"/>
    <mergeCell ref="D20:E20"/>
    <mergeCell ref="B31:D31"/>
    <mergeCell ref="B62:C62"/>
    <mergeCell ref="D62:F62"/>
    <mergeCell ref="I62:J62"/>
    <mergeCell ref="B70:J70"/>
    <mergeCell ref="B60:C60"/>
    <mergeCell ref="D60:F60"/>
    <mergeCell ref="I60:J60"/>
    <mergeCell ref="B61:C61"/>
    <mergeCell ref="D61:F61"/>
    <mergeCell ref="I61:J61"/>
    <mergeCell ref="B63:C63"/>
    <mergeCell ref="D63:F63"/>
    <mergeCell ref="I63:J63"/>
    <mergeCell ref="D64:F64"/>
    <mergeCell ref="B64:C64"/>
    <mergeCell ref="I64:J64"/>
    <mergeCell ref="D65:F65"/>
    <mergeCell ref="D66:F66"/>
    <mergeCell ref="D67:F67"/>
    <mergeCell ref="D68:F68"/>
    <mergeCell ref="B32:F32"/>
    <mergeCell ref="B26:C26"/>
    <mergeCell ref="D17:E17"/>
    <mergeCell ref="B13:B14"/>
    <mergeCell ref="B15:B16"/>
    <mergeCell ref="B47:F47"/>
    <mergeCell ref="B48:F48"/>
    <mergeCell ref="D34:F34"/>
    <mergeCell ref="B35:F35"/>
    <mergeCell ref="B37:F37"/>
    <mergeCell ref="B22:F22"/>
    <mergeCell ref="B23:F23"/>
    <mergeCell ref="E29:F29"/>
    <mergeCell ref="B29:D29"/>
    <mergeCell ref="E31:F31"/>
    <mergeCell ref="B28:C28"/>
    <mergeCell ref="D28:F28"/>
    <mergeCell ref="B42:F42"/>
    <mergeCell ref="B43:F43"/>
    <mergeCell ref="B44:F44"/>
    <mergeCell ref="B45:F45"/>
    <mergeCell ref="B46:F46"/>
    <mergeCell ref="B39:F39"/>
    <mergeCell ref="B41:F41"/>
    <mergeCell ref="B30:F30"/>
    <mergeCell ref="B20:C20"/>
    <mergeCell ref="B33:C33"/>
    <mergeCell ref="D33:F33"/>
    <mergeCell ref="B2:F3"/>
    <mergeCell ref="C4:F4"/>
    <mergeCell ref="C5:F5"/>
    <mergeCell ref="B6:C6"/>
    <mergeCell ref="D6:F6"/>
    <mergeCell ref="B10:F10"/>
    <mergeCell ref="B11:F11"/>
    <mergeCell ref="B18:C18"/>
    <mergeCell ref="D19:F19"/>
    <mergeCell ref="B19:C19"/>
    <mergeCell ref="B7:C7"/>
    <mergeCell ref="D7:F7"/>
    <mergeCell ref="B8:C8"/>
    <mergeCell ref="D8:F8"/>
    <mergeCell ref="B9:C9"/>
    <mergeCell ref="D9:F9"/>
    <mergeCell ref="E18:F18"/>
    <mergeCell ref="D12:E12"/>
    <mergeCell ref="D13:E13"/>
    <mergeCell ref="D14:E14"/>
    <mergeCell ref="D15:E15"/>
    <mergeCell ref="D16:E16"/>
    <mergeCell ref="F71:G71"/>
    <mergeCell ref="F72:G72"/>
    <mergeCell ref="F73:G73"/>
    <mergeCell ref="F74:G74"/>
    <mergeCell ref="F75:G75"/>
    <mergeCell ref="B51:J52"/>
    <mergeCell ref="F54:G54"/>
    <mergeCell ref="F55:G55"/>
    <mergeCell ref="F56:G56"/>
    <mergeCell ref="F57:G57"/>
    <mergeCell ref="B58:J58"/>
    <mergeCell ref="I59:J59"/>
    <mergeCell ref="I73:J73"/>
    <mergeCell ref="D69:F69"/>
    <mergeCell ref="B65:C65"/>
    <mergeCell ref="I65:J65"/>
    <mergeCell ref="B74:B75"/>
    <mergeCell ref="I71:J71"/>
    <mergeCell ref="I72:J72"/>
    <mergeCell ref="D59:F59"/>
    <mergeCell ref="B54:E54"/>
    <mergeCell ref="B55:E55"/>
    <mergeCell ref="B56:E56"/>
    <mergeCell ref="B57:E57"/>
  </mergeCells>
  <conditionalFormatting sqref="B21">
    <cfRule type="expression" dxfId="123" priority="48">
      <formula>UPPER($D$19)="No"</formula>
    </cfRule>
  </conditionalFormatting>
  <conditionalFormatting sqref="B30:F30">
    <cfRule type="expression" dxfId="122" priority="49">
      <formula>UPPER($D$28)="No"</formula>
    </cfRule>
    <cfRule type="expression" priority="50">
      <formula>UPPER($D$19)="No"</formula>
    </cfRule>
    <cfRule type="expression" dxfId="121" priority="57">
      <formula>UPPER($D$28)="No"</formula>
    </cfRule>
  </conditionalFormatting>
  <conditionalFormatting sqref="B32:F32">
    <cfRule type="expression" dxfId="120" priority="13">
      <formula>UPPER($D$28)="No"</formula>
    </cfRule>
    <cfRule type="expression" priority="14">
      <formula>UPPER($D$19)="No"</formula>
    </cfRule>
    <cfRule type="expression" dxfId="119" priority="15">
      <formula>UPPER($D$28)="No"</formula>
    </cfRule>
  </conditionalFormatting>
  <conditionalFormatting sqref="B35:F35">
    <cfRule type="expression" dxfId="118" priority="10">
      <formula>UPPER($D$28)="No"</formula>
    </cfRule>
    <cfRule type="expression" priority="11">
      <formula>UPPER($D$19)="No"</formula>
    </cfRule>
    <cfRule type="expression" dxfId="117" priority="12">
      <formula>UPPER($D$28)="No"</formula>
    </cfRule>
  </conditionalFormatting>
  <conditionalFormatting sqref="B37:F37">
    <cfRule type="expression" dxfId="116" priority="7">
      <formula>UPPER($D$28)="No"</formula>
    </cfRule>
    <cfRule type="expression" priority="8">
      <formula>UPPER($D$19)="No"</formula>
    </cfRule>
    <cfRule type="expression" dxfId="115" priority="9">
      <formula>UPPER($D$28)="No"</formula>
    </cfRule>
  </conditionalFormatting>
  <conditionalFormatting sqref="B39:F39">
    <cfRule type="expression" dxfId="114" priority="4">
      <formula>UPPER($D$28)="No"</formula>
    </cfRule>
    <cfRule type="expression" priority="5">
      <formula>UPPER($D$19)="No"</formula>
    </cfRule>
    <cfRule type="expression" dxfId="113" priority="6">
      <formula>UPPER($D$28)="No"</formula>
    </cfRule>
  </conditionalFormatting>
  <conditionalFormatting sqref="B41:F41">
    <cfRule type="expression" dxfId="112" priority="1">
      <formula>UPPER($D$28)="No"</formula>
    </cfRule>
    <cfRule type="expression" priority="2">
      <formula>UPPER($D$19)="No"</formula>
    </cfRule>
    <cfRule type="expression" dxfId="111" priority="3">
      <formula>UPPER($D$28)="No"</formula>
    </cfRule>
  </conditionalFormatting>
  <conditionalFormatting sqref="D21:F21">
    <cfRule type="expression" dxfId="110" priority="47">
      <formula>UPPER($D$19)="No"</formula>
    </cfRule>
  </conditionalFormatting>
  <conditionalFormatting sqref="D33:F34">
    <cfRule type="expression" dxfId="109" priority="55">
      <formula>UPPER($D$28)="No"</formula>
    </cfRule>
  </conditionalFormatting>
  <dataValidations count="39">
    <dataValidation type="list" allowBlank="1" showInputMessage="1" showErrorMessage="1" sqref="C78:C88" xr:uid="{FD906350-AF1D-4615-9273-7087DAE3C080}">
      <formula1>"Paper-based, Magnetic, Optical, Electronic/Digital, Cloud"</formula1>
    </dataValidation>
    <dataValidation type="list" allowBlank="1" showInputMessage="1" showErrorMessage="1" sqref="D100:E102 D19:E19 D90:E94 D26:F26" xr:uid="{ADD87549-C004-4C42-8871-CDD7131E27B7}">
      <formula1>"Yes, No"</formula1>
    </dataValidation>
    <dataValidation allowBlank="1" showInputMessage="1" showErrorMessage="1" sqref="J13:J14 I13:I16 G17:H17 B17 B13 B15 I71" xr:uid="{1793FD31-2405-43B8-B917-69AF57A62D41}"/>
    <dataValidation type="list" allowBlank="1" showInputMessage="1" showErrorMessage="1" sqref="B72 B74" xr:uid="{8EA95074-83EA-445B-8174-3E4B0E3043E5}">
      <formula1>"Internal, External"</formula1>
    </dataValidation>
    <dataValidation allowBlank="1" showInputMessage="1" showErrorMessage="1" prompt="E.g. filing cabinet, storage room, local network drive, etc." sqref="D88:E88" xr:uid="{21DD2FBC-CDBE-4DCC-8E7D-54D3A0E9773A}"/>
    <dataValidation type="list" allowBlank="1" showInputMessage="1" showErrorMessage="1" prompt="Are you processing personal data as a PIC or a PIP? If both, you must register each use separately in the NPC-RS." sqref="D18" xr:uid="{1E4D9F11-7484-440D-9B8E-F5F6213073EF}">
      <formula1>"PIC, PIP, Both"</formula1>
    </dataValidation>
    <dataValidation allowBlank="1" showInputMessage="1" showErrorMessage="1" prompt="ex. Employees, customers, clients, suppliers, etc...)" sqref="B11:F11" xr:uid="{AD4E7B2D-878B-4E9A-8620-0DFCB68099E1}"/>
    <dataValidation type="list" allowBlank="1" showInputMessage="1" showErrorMessage="1" sqref="B7:C7" xr:uid="{C4EE47AD-405B-408E-991B-C8F428945FD3}">
      <formula1>"Consent,Contract,Compliance with a legal obligation,Protect vitally important interests of the data subject,National emergency/public order &amp; safety/ constitutional/statutory mandate of a public authority,Legitimate interests,N/A"</formula1>
    </dataValidation>
    <dataValidation type="list" allowBlank="1" showInputMessage="1" showErrorMessage="1" sqref="D7:F7" xr:uid="{DDB6B5A5-7DEE-4010-A95B-9F5334A4944D}">
      <formula1>"Consent,Existing laws and regulations,Protect the life and health of the data subject, Lawful and noncommercial objectives,Medical treatment,Protection of lawful rights, N/A"</formula1>
    </dataValidation>
    <dataValidation type="list" allowBlank="1" showInputMessage="1" showErrorMessage="1" sqref="D33:F33" xr:uid="{9F1D7EC0-B776-4A21-B7EC-DDD41C3843D2}">
      <formula1>"Yes, No, N/A"</formula1>
    </dataValidation>
    <dataValidation allowBlank="1" showInputMessage="1" showErrorMessage="1" prompt=" e.g., attorney-client, marital, doctor-patient, priest-penitent." sqref="C17" xr:uid="{6203F45A-5121-4DD0-9726-1438411C2628}"/>
    <dataValidation allowBlank="1" showInputMessage="1" showErrorMessage="1" prompt="e.g., race, ethnicity, marital status, age, color, religion, politics, health education, genetics, sexual life, legal matters, gov’t issued no., classified by law. " sqref="C15:C16" xr:uid="{A6248CF0-E9D3-465F-949D-CAC6F0B3E22F}"/>
    <dataValidation type="list" allowBlank="1" showInputMessage="1" showErrorMessage="1" sqref="D28:F28" xr:uid="{ADF01332-9B80-4538-9961-C9A67DECB7CC}">
      <formula1>"Automated decision-making, Profiling, Both, No"</formula1>
    </dataValidation>
    <dataValidation allowBlank="1" showInputMessage="1" showErrorMessage="1" prompt="e.g., shredding (cross-cut), data wiping, degaussing, physical destruction of storage devices, cryptographic erasure" sqref="I78:I87" xr:uid="{8E8E1423-FC2F-4DD2-8E46-EAD758F89D34}"/>
    <dataValidation type="list" allowBlank="1" showInputMessage="1" showErrorMessage="1" prompt="Manual - Physical documents collected_x000a_Electronic/Automated - Electronic data being processed_x000a_Both - If physical form is eventually processed electronically" sqref="C4:F4" xr:uid="{DC9282D0-57FF-4067-88D7-BC60BAD6C990}">
      <formula1>"Manual, Electronic, Both"</formula1>
    </dataValidation>
    <dataValidation allowBlank="1" showInputMessage="1" showErrorMessage="1" prompt="e.g. name, contact details (home address, phone no., personal email) IP address, online/offline identifier (username, social media, password, photo, signature), voice/voice pattern, professional/employment details (company, position, work email &amp; address)" sqref="C13:C14" xr:uid="{2FBCF9DD-AFCE-4797-AB69-CB26890EA90B}"/>
    <dataValidation allowBlank="1" showInputMessage="1" showErrorMessage="1" prompt="e.g., designation of DPO, data protection policies, RoPA, HR management, personal data processing, third-party contracts" sqref="B44:F44" xr:uid="{787BD72B-D4C5-4E83-947A-B44BE4A895E6}"/>
    <dataValidation allowBlank="1" showInputMessage="1" showErrorMessage="1" prompt="e.g., access control, workspace privacy, personnel access management, media handling, security &amp; protection" sqref="B46:F46" xr:uid="{CF1BE7A5-C0A0-4A00-BA8A-C00E5A6790E9}"/>
    <dataValidation allowBlank="1" showInputMessage="1" showErrorMessage="1" prompt="e.g., network protection, system testing, resilience &amp; monitoring, data encryption &amp; recovery" sqref="B48:F48" xr:uid="{7FE793D4-42F3-4505-828B-7CBDDF9B1039}"/>
    <dataValidation allowBlank="1" showInputMessage="1" showErrorMessage="1" prompt="Title name of the system being registered (ex. HRIS, Registration System)" sqref="C5:F5" xr:uid="{C1730A66-26D3-4AE5-863B-02944E2F4290}"/>
    <dataValidation allowBlank="1" showInputMessage="1" showErrorMessage="1" prompt="Why the information is being processed (ex. &quot;This DPS is used for processing of the salaries of employees, etc.&quot;)." sqref="B9:C9" xr:uid="{9EFA6F81-FCB8-4D23-9733-1FEAB072D055}"/>
    <dataValidation allowBlank="1" showInputMessage="1" showErrorMessage="1" prompt="Manner when the data is collected (ex. Upon submission of form and other requirements)" sqref="B55:B57" xr:uid="{BFAA6E01-6964-4E8C-89A8-5718166D9911}"/>
    <dataValidation allowBlank="1" showInputMessage="1" showErrorMessage="1" prompt="Insert all users of the project/system." sqref="B60:B69 C60:C62" xr:uid="{D2E602F8-67DC-40DC-B860-D15A028AE494}"/>
    <dataValidation type="list" allowBlank="1" showInputMessage="1" showErrorMessage="1" sqref="D27:F27" xr:uid="{5459D48A-9B43-40BB-A2B5-7E920511B143}">
      <formula1>"Internal, External, Both"</formula1>
    </dataValidation>
    <dataValidation allowBlank="1" showInputMessage="1" showErrorMessage="1" prompt="E.g. filing cabinet, storage room, local network drive, on-premise data center, remote data center, external backup, cloud provider infrastructure, on-premise server, etc." sqref="D78:D87" xr:uid="{822B3C2F-2062-4316-8978-05F1E3922C13}"/>
    <dataValidation type="list" allowBlank="1" showInputMessage="1" showErrorMessage="1" sqref="D34:F34" xr:uid="{1A596B6B-D0A6-4603-BE79-2BB936F04561}">
      <formula1>"Consent form, Other proof of obtaining consent, N/A"</formula1>
    </dataValidation>
    <dataValidation type="list" allowBlank="1" showInputMessage="1" showErrorMessage="1" sqref="F55:G57" xr:uid="{E826B25C-0D06-45AE-AEBB-9B76D9451BDA}">
      <formula1>"PIP, PIC, Both"</formula1>
    </dataValidation>
    <dataValidation allowBlank="1" showInputMessage="1" showErrorMessage="1" prompt="E.g. Data Subjects, Authorized Representatives of the Data Subject, Third Parties, Internal Departments, Public Sources " sqref="H55:H57" xr:uid="{A6F6871B-8C3D-4B73-80BA-FC028F2F086E}"/>
    <dataValidation type="list" allowBlank="1" showInputMessage="1" showErrorMessage="1" sqref="F13:F17" xr:uid="{F4AC5356-4318-491C-A4CA-75136D6AB1A4}">
      <formula1>"PIC, PIP, Both"</formula1>
    </dataValidation>
    <dataValidation type="whole" allowBlank="1" showInputMessage="1" showErrorMessage="1" prompt="Please enter a whole number only (no decimals or text)." sqref="D13:E17" xr:uid="{BA3C9AE1-DAA4-4D8D-BD79-79235D823038}">
      <formula1>0</formula1>
      <formula2>10000000000</formula2>
    </dataValidation>
    <dataValidation type="custom" showInputMessage="1" showErrorMessage="1" errorTitle="Not Applicable" error="This field is only required for outsourced systems. Please enter &quot;N/A&quot; if not applicable." promptTitle="Applicable Only if Outsourced or Subcontracted" prompt="This field is only applicable if the system is outsourced. If not, please enter &quot;N/A&quot; or leave it blank." sqref="F21" xr:uid="{5CF5DE93-090F-4ED9-AB4D-BAB1A8C3FFA7}">
      <formula1>OR($D$19="Yes", $F$21="N/A", $F$21="")</formula1>
    </dataValidation>
    <dataValidation type="custom" showInputMessage="1" showErrorMessage="1" errorTitle="Not Applicable" error="This field is only required for outsourced systems. Please enter &quot;N/A&quot; if not applicable." promptTitle="Applicable Only if Outsourced or Subcontracted" prompt="This field is only applicable if the system is outsourced. If not, please enter &quot;N/A&quot; or leave it blank." sqref="D21:E21" xr:uid="{2E14A256-2C94-4C09-A73A-4DC393DAF69E}">
      <formula1>OR($D$19="Yes", $D$21="N/A", $D$21="")</formula1>
    </dataValidation>
    <dataValidation type="custom" showInputMessage="1" showErrorMessage="1" errorTitle="Not Applicable" error="This field is only required for outsourced systems. Please enter &quot;N/A&quot; if not applicable." promptTitle="Applicable Only if Outsourced or Subcontracted" prompt="This field is only applicable if the system is outsourced. If not, please enter &quot;N/A&quot; or leave it blank." sqref="B21:C21" xr:uid="{B7C15DB9-AD1B-4241-A6D4-8D95BCC528D3}">
      <formula1>OR($D$19="Yes", $B$21="N/A", $B$21="")</formula1>
    </dataValidation>
    <dataValidation allowBlank="1" showInputMessage="1" showErrorMessage="1" promptTitle="[Yes/No]" prompt="If Yes, specify country and details" sqref="I72:J73" xr:uid="{117E7C07-B253-4C39-A535-92D413B22331}"/>
    <dataValidation allowBlank="1" showInputMessage="1" showErrorMessage="1" prompt="Specify details if necessary." sqref="E18:F18" xr:uid="{C55209FE-7E5C-4EB7-BCA6-3D80F8D879B1}"/>
    <dataValidation type="custom" allowBlank="1" showInputMessage="1" showErrorMessage="1" errorTitle="Not Applicable" error="This question is only applicable if there has been a notification regarding any automated decision-making operation and /or profiling. Kindly leave this BLANK or put 'N/A'." promptTitle="Conditionally Applicable Question" prompt="This question is only applicable if there has been a notification regarding any automated decision-making operation and/or profiling. If not, you may leave this blank." sqref="B30:F30 B41:F41 B39:F39 B37:F37 B35:F35 B32:F32" xr:uid="{8A9FFB10-A65E-4D12-9438-CD34A579C47D}">
      <formula1>OR($D$28="Automated decision-making", $D$28="Profiling", $D$28="Both", $B$30="N/A", $B$30="")</formula1>
    </dataValidation>
    <dataValidation allowBlank="1" showInputMessage="1" showErrorMessage="1" prompt="Indicate the reason for retention (e.g., legal requirement - cite specific law or regulation, industry standard - ISO/NIST, company policy, etc.)" sqref="H78:H87" xr:uid="{7C6C4704-C900-48F3-B434-CC95975F9013}"/>
    <dataValidation type="list" allowBlank="1" showInputMessage="1" showErrorMessage="1" sqref="I74:J75 F74:G75" xr:uid="{DD4576B4-EE70-469F-9A9C-51F964D3750C}">
      <formula1>"Yes,No"</formula1>
    </dataValidation>
    <dataValidation type="list" allowBlank="1" showInputMessage="1" showErrorMessage="1" sqref="E78:E87 J78:J87" xr:uid="{70210C08-DA6F-41E1-A575-86EC6EC15032}">
      <formula1>"In-house, Outsourced"</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4B8B-6169-4EDD-B70E-3E9C569AF8D7}">
  <sheetPr>
    <tabColor theme="3" tint="0.249977111117893"/>
    <pageSetUpPr fitToPage="1"/>
  </sheetPr>
  <dimension ref="B2:AZ57"/>
  <sheetViews>
    <sheetView showGridLines="0" topLeftCell="A30" zoomScale="62" zoomScaleNormal="50" workbookViewId="0">
      <selection activeCell="F44" sqref="F44:G44"/>
    </sheetView>
  </sheetViews>
  <sheetFormatPr defaultColWidth="9.125" defaultRowHeight="14.25"/>
  <cols>
    <col min="1" max="1" width="9.125" style="18"/>
    <col min="2" max="2" width="4.875" style="18" customWidth="1"/>
    <col min="3" max="5" width="21" style="18" customWidth="1"/>
    <col min="6" max="6" width="8.875" style="40" customWidth="1"/>
    <col min="7" max="7" width="17.875" style="18" customWidth="1"/>
    <col min="8" max="8" width="28.625" style="18" customWidth="1"/>
    <col min="9" max="9" width="25.75" style="18" customWidth="1"/>
    <col min="10" max="10" width="16.625" style="18" customWidth="1"/>
    <col min="11" max="11" width="10" style="18" customWidth="1"/>
    <col min="12" max="12" width="17.75" style="18" customWidth="1"/>
    <col min="13" max="13" width="17.25" style="18" customWidth="1"/>
    <col min="14" max="14" width="14.625" style="94" bestFit="1" customWidth="1"/>
    <col min="15" max="15" width="38.375" style="96" customWidth="1"/>
    <col min="16" max="16" width="8" style="94" customWidth="1"/>
    <col min="17" max="17" width="19.25" style="94" bestFit="1" customWidth="1"/>
    <col min="18" max="18" width="21.625" style="96" customWidth="1"/>
    <col min="19" max="19" width="15" style="96" customWidth="1"/>
    <col min="20" max="20" width="15.125" style="96" customWidth="1"/>
    <col min="21" max="21" width="17.375" style="96" bestFit="1" customWidth="1"/>
    <col min="22" max="22" width="11.125" style="94" bestFit="1" customWidth="1"/>
    <col min="23" max="24" width="9.125" style="18"/>
    <col min="25" max="25" width="13.75" style="18" customWidth="1"/>
    <col min="26" max="51" width="9.125" style="18"/>
    <col min="52" max="52" width="36.625" style="18" bestFit="1" customWidth="1"/>
    <col min="53" max="16384" width="9.125" style="18"/>
  </cols>
  <sheetData>
    <row r="2" spans="2:52" ht="14.1" customHeight="1">
      <c r="B2" s="342" t="s">
        <v>116</v>
      </c>
      <c r="C2" s="343"/>
      <c r="D2" s="343"/>
      <c r="E2" s="343"/>
      <c r="F2" s="343"/>
      <c r="G2" s="343"/>
      <c r="H2" s="343"/>
      <c r="I2" s="343"/>
      <c r="J2" s="343"/>
      <c r="K2" s="343"/>
      <c r="L2" s="343"/>
      <c r="M2" s="344"/>
    </row>
    <row r="3" spans="2:52" ht="18.75" customHeight="1">
      <c r="B3" s="345"/>
      <c r="C3" s="346"/>
      <c r="D3" s="346"/>
      <c r="E3" s="346"/>
      <c r="F3" s="346"/>
      <c r="G3" s="346"/>
      <c r="H3" s="346"/>
      <c r="I3" s="346"/>
      <c r="J3" s="346"/>
      <c r="K3" s="346"/>
      <c r="L3" s="346"/>
      <c r="M3" s="347"/>
    </row>
    <row r="4" spans="2:52" ht="13.5" customHeight="1">
      <c r="B4" s="97"/>
      <c r="C4" s="97"/>
      <c r="D4" s="97"/>
      <c r="E4" s="97"/>
      <c r="F4" s="97"/>
      <c r="G4" s="97"/>
      <c r="H4" s="97"/>
      <c r="I4" s="97"/>
      <c r="J4" s="97"/>
      <c r="K4" s="97"/>
      <c r="L4" s="97"/>
      <c r="M4" s="97"/>
    </row>
    <row r="5" spans="2:52" s="2" customFormat="1" ht="26.45" customHeight="1">
      <c r="B5" s="341" t="s">
        <v>117</v>
      </c>
      <c r="C5" s="341"/>
      <c r="D5" s="341"/>
      <c r="E5" s="341"/>
      <c r="F5" s="341"/>
      <c r="G5" s="341"/>
      <c r="H5" s="341"/>
      <c r="I5" s="341"/>
      <c r="J5" s="341"/>
      <c r="K5" s="341"/>
      <c r="L5" s="341"/>
      <c r="M5" s="341"/>
      <c r="N5" s="94"/>
      <c r="O5" s="96"/>
      <c r="P5" s="94"/>
      <c r="Q5" s="94"/>
      <c r="R5" s="96"/>
      <c r="S5" s="96"/>
      <c r="T5" s="96"/>
      <c r="U5" s="96"/>
      <c r="V5" s="94"/>
    </row>
    <row r="6" spans="2:52" ht="29.25" customHeight="1">
      <c r="B6" s="102" t="s">
        <v>32</v>
      </c>
      <c r="C6" s="348" t="s">
        <v>118</v>
      </c>
      <c r="D6" s="348"/>
      <c r="E6" s="348"/>
      <c r="F6" s="102" t="s">
        <v>119</v>
      </c>
      <c r="G6" s="102" t="s">
        <v>35</v>
      </c>
      <c r="H6" s="98" t="s">
        <v>120</v>
      </c>
      <c r="I6" s="98" t="s">
        <v>121</v>
      </c>
      <c r="J6" s="98" t="s">
        <v>122</v>
      </c>
      <c r="K6" s="98" t="s">
        <v>123</v>
      </c>
      <c r="L6" s="98" t="s">
        <v>124</v>
      </c>
      <c r="M6" s="98" t="s">
        <v>125</v>
      </c>
      <c r="N6" s="99"/>
      <c r="O6" s="100"/>
      <c r="P6" s="99"/>
      <c r="Q6" s="99"/>
      <c r="R6" s="100"/>
      <c r="S6" s="100"/>
      <c r="T6" s="100"/>
      <c r="U6" s="100"/>
      <c r="V6" s="99"/>
    </row>
    <row r="7" spans="2:52" ht="36" customHeight="1">
      <c r="B7" s="338">
        <v>1</v>
      </c>
      <c r="C7" s="334" t="s">
        <v>126</v>
      </c>
      <c r="D7" s="334"/>
      <c r="E7" s="334"/>
      <c r="F7" s="104"/>
      <c r="G7" s="105"/>
      <c r="H7" s="335" t="str">
        <f>IF(F7="No", "Absence of a comprehensive and timely privacy notice creates a transparency gap, weakening data subjects' ability to make informed decisions and exercise their rights.", "")</f>
        <v/>
      </c>
      <c r="I7" s="230" t="str">
        <f>IF(F7="No", "Violation of general privacy principles – Transparency
Violation of data subject rights - Rights to be informed", "")</f>
        <v/>
      </c>
      <c r="J7" s="230" t="str">
        <f>IF(F7="No", "SEC. 11, DPA 
SEC. 16(a)(b), DPA", "")</f>
        <v/>
      </c>
      <c r="K7" s="224" t="str">
        <f>IF(AND(F7="No", 'P1 Threshold Analysis'!D5="Yes"), 4, IF(AND(F7="No", COUNTIF(F8:F17, "False")&gt;9), 4, IF(AND(F7="No", COUNTIF(F8:F17, "True")&gt;0), 3, "")))</f>
        <v/>
      </c>
      <c r="L7" s="224" t="str">
        <f>IF(AND(F7="No", 'P1 Threshold Analysis'!D5="Yes"), 4, IF(AND(F7="No", COUNTIF(F8:F17, "False")&gt;9), 4, IF(AND(F7="No", COUNTIF(F8:F17, "True")&gt;0), 3, "")))</f>
        <v/>
      </c>
      <c r="M7" s="224" t="str">
        <f>IF(OR(K7="", L7=""), "",
 IF(K7*L7&gt;=10, IF(K7*L7&lt;=16, "High Risk", ""),
 IF(K7*L7&gt;=6, IF(K7*L7&lt;=9, "Medium Risk", ""),
 IF(K7*L7&gt;=2, IF(K7*L7&lt;=4, "Low Risk", ""),
 IF(K7*L7=1, "Negligible", "")))))</f>
        <v/>
      </c>
      <c r="N7" s="319"/>
      <c r="O7" s="333"/>
      <c r="P7" s="319"/>
      <c r="Q7" s="319"/>
      <c r="R7" s="333"/>
      <c r="S7" s="333"/>
      <c r="T7" s="333"/>
      <c r="U7" s="333"/>
      <c r="V7" s="319"/>
    </row>
    <row r="8" spans="2:52" ht="15.6" customHeight="1">
      <c r="B8" s="338"/>
      <c r="C8" s="332" t="s">
        <v>127</v>
      </c>
      <c r="D8" s="332"/>
      <c r="E8" s="332"/>
      <c r="F8" s="106" t="b">
        <v>0</v>
      </c>
      <c r="G8" s="101"/>
      <c r="H8" s="335"/>
      <c r="I8" s="230"/>
      <c r="J8" s="230"/>
      <c r="K8" s="224"/>
      <c r="L8" s="224"/>
      <c r="M8" s="224"/>
      <c r="N8" s="319"/>
      <c r="O8" s="333"/>
      <c r="P8" s="319"/>
      <c r="Q8" s="319"/>
      <c r="R8" s="333"/>
      <c r="S8" s="333"/>
      <c r="T8" s="333"/>
      <c r="U8" s="333"/>
      <c r="V8" s="319"/>
    </row>
    <row r="9" spans="2:52" ht="48" customHeight="1">
      <c r="B9" s="338"/>
      <c r="C9" s="332" t="s">
        <v>128</v>
      </c>
      <c r="D9" s="332"/>
      <c r="E9" s="332"/>
      <c r="F9" s="106" t="b">
        <v>0</v>
      </c>
      <c r="G9" s="101"/>
      <c r="H9" s="335"/>
      <c r="I9" s="230"/>
      <c r="J9" s="230"/>
      <c r="K9" s="224"/>
      <c r="L9" s="224"/>
      <c r="M9" s="224"/>
      <c r="N9" s="319"/>
      <c r="O9" s="333"/>
      <c r="P9" s="319"/>
      <c r="Q9" s="319"/>
      <c r="R9" s="333"/>
      <c r="S9" s="333"/>
      <c r="T9" s="333"/>
      <c r="U9" s="333"/>
      <c r="V9" s="319"/>
    </row>
    <row r="10" spans="2:52" ht="35.450000000000003" customHeight="1">
      <c r="B10" s="338"/>
      <c r="C10" s="332" t="s">
        <v>129</v>
      </c>
      <c r="D10" s="332"/>
      <c r="E10" s="332"/>
      <c r="F10" s="106" t="b">
        <v>0</v>
      </c>
      <c r="G10" s="101"/>
      <c r="H10" s="335"/>
      <c r="I10" s="230"/>
      <c r="J10" s="230"/>
      <c r="K10" s="224"/>
      <c r="L10" s="224"/>
      <c r="M10" s="224"/>
      <c r="N10" s="319"/>
      <c r="O10" s="333"/>
      <c r="P10" s="319"/>
      <c r="Q10" s="319"/>
      <c r="R10" s="333"/>
      <c r="S10" s="333"/>
      <c r="T10" s="333"/>
      <c r="U10" s="333"/>
      <c r="V10" s="319"/>
    </row>
    <row r="11" spans="2:52" ht="15.6" customHeight="1">
      <c r="B11" s="338"/>
      <c r="C11" s="332" t="s">
        <v>130</v>
      </c>
      <c r="D11" s="332"/>
      <c r="E11" s="332"/>
      <c r="F11" s="106" t="b">
        <v>0</v>
      </c>
      <c r="G11" s="101"/>
      <c r="H11" s="335"/>
      <c r="I11" s="230"/>
      <c r="J11" s="230"/>
      <c r="K11" s="224"/>
      <c r="L11" s="224"/>
      <c r="M11" s="224"/>
      <c r="N11" s="319"/>
      <c r="O11" s="333"/>
      <c r="P11" s="319"/>
      <c r="Q11" s="319"/>
      <c r="R11" s="333"/>
      <c r="S11" s="333"/>
      <c r="T11" s="333"/>
      <c r="U11" s="333"/>
      <c r="V11" s="319"/>
    </row>
    <row r="12" spans="2:52" ht="15.6" customHeight="1">
      <c r="B12" s="338"/>
      <c r="C12" s="332" t="s">
        <v>131</v>
      </c>
      <c r="D12" s="332"/>
      <c r="E12" s="332"/>
      <c r="F12" s="106" t="b">
        <v>0</v>
      </c>
      <c r="G12" s="101"/>
      <c r="H12" s="335"/>
      <c r="I12" s="230"/>
      <c r="J12" s="230"/>
      <c r="K12" s="224"/>
      <c r="L12" s="224"/>
      <c r="M12" s="224"/>
      <c r="N12" s="319"/>
      <c r="O12" s="333"/>
      <c r="P12" s="319"/>
      <c r="Q12" s="319"/>
      <c r="R12" s="333"/>
      <c r="S12" s="333"/>
      <c r="T12" s="333"/>
      <c r="U12" s="333"/>
      <c r="V12" s="319"/>
    </row>
    <row r="13" spans="2:52" ht="60" customHeight="1">
      <c r="B13" s="338"/>
      <c r="C13" s="332" t="s">
        <v>132</v>
      </c>
      <c r="D13" s="332"/>
      <c r="E13" s="332"/>
      <c r="F13" s="106" t="b">
        <v>0</v>
      </c>
      <c r="G13" s="101"/>
      <c r="H13" s="335"/>
      <c r="I13" s="230"/>
      <c r="J13" s="230"/>
      <c r="K13" s="224"/>
      <c r="L13" s="224"/>
      <c r="M13" s="224"/>
      <c r="N13" s="319"/>
      <c r="O13" s="333"/>
      <c r="P13" s="319"/>
      <c r="Q13" s="319"/>
      <c r="R13" s="333"/>
      <c r="S13" s="333"/>
      <c r="T13" s="333"/>
      <c r="U13" s="333"/>
      <c r="V13" s="319"/>
      <c r="AZ13" s="44" t="s">
        <v>133</v>
      </c>
    </row>
    <row r="14" spans="2:52" ht="15.6" customHeight="1">
      <c r="B14" s="338"/>
      <c r="C14" s="332" t="s">
        <v>134</v>
      </c>
      <c r="D14" s="332"/>
      <c r="E14" s="332"/>
      <c r="F14" s="106" t="b">
        <v>0</v>
      </c>
      <c r="G14" s="101"/>
      <c r="H14" s="335"/>
      <c r="I14" s="230"/>
      <c r="J14" s="230"/>
      <c r="K14" s="224"/>
      <c r="L14" s="224"/>
      <c r="M14" s="224"/>
      <c r="N14" s="319"/>
      <c r="O14" s="333"/>
      <c r="P14" s="319"/>
      <c r="Q14" s="319"/>
      <c r="R14" s="333"/>
      <c r="S14" s="333"/>
      <c r="T14" s="333"/>
      <c r="U14" s="333"/>
      <c r="V14" s="319"/>
    </row>
    <row r="15" spans="2:52" ht="43.5" customHeight="1">
      <c r="B15" s="338"/>
      <c r="C15" s="332" t="s">
        <v>135</v>
      </c>
      <c r="D15" s="332"/>
      <c r="E15" s="332"/>
      <c r="F15" s="106" t="b">
        <v>0</v>
      </c>
      <c r="G15" s="101"/>
      <c r="H15" s="335"/>
      <c r="I15" s="230"/>
      <c r="J15" s="230"/>
      <c r="K15" s="224"/>
      <c r="L15" s="224"/>
      <c r="M15" s="224"/>
      <c r="N15" s="319"/>
      <c r="O15" s="333"/>
      <c r="P15" s="319"/>
      <c r="Q15" s="319"/>
      <c r="R15" s="333"/>
      <c r="S15" s="333"/>
      <c r="T15" s="333"/>
      <c r="U15" s="333"/>
      <c r="V15" s="319"/>
    </row>
    <row r="16" spans="2:52" ht="15.6" customHeight="1">
      <c r="B16" s="338"/>
      <c r="C16" s="332" t="s">
        <v>136</v>
      </c>
      <c r="D16" s="332"/>
      <c r="E16" s="332"/>
      <c r="F16" s="106" t="b">
        <v>0</v>
      </c>
      <c r="G16" s="101"/>
      <c r="H16" s="335"/>
      <c r="I16" s="230"/>
      <c r="J16" s="230"/>
      <c r="K16" s="224"/>
      <c r="L16" s="224"/>
      <c r="M16" s="224"/>
      <c r="N16" s="319"/>
      <c r="O16" s="333"/>
      <c r="P16" s="319"/>
      <c r="Q16" s="319"/>
      <c r="R16" s="333"/>
      <c r="S16" s="333"/>
      <c r="T16" s="333"/>
      <c r="U16" s="333"/>
      <c r="V16" s="319"/>
    </row>
    <row r="17" spans="2:22" ht="15.6" customHeight="1">
      <c r="B17" s="338"/>
      <c r="C17" s="332" t="s">
        <v>137</v>
      </c>
      <c r="D17" s="332"/>
      <c r="E17" s="332"/>
      <c r="F17" s="106" t="b">
        <v>0</v>
      </c>
      <c r="G17" s="101"/>
      <c r="H17" s="335"/>
      <c r="I17" s="230"/>
      <c r="J17" s="230"/>
      <c r="K17" s="224"/>
      <c r="L17" s="224"/>
      <c r="M17" s="224"/>
      <c r="N17" s="319"/>
      <c r="O17" s="333"/>
      <c r="P17" s="319"/>
      <c r="Q17" s="319"/>
      <c r="R17" s="333"/>
      <c r="S17" s="333"/>
      <c r="T17" s="333"/>
      <c r="U17" s="333"/>
      <c r="V17" s="319"/>
    </row>
    <row r="18" spans="2:22" ht="146.25" customHeight="1">
      <c r="B18" s="103">
        <v>2</v>
      </c>
      <c r="C18" s="331" t="s">
        <v>138</v>
      </c>
      <c r="D18" s="331"/>
      <c r="E18" s="331"/>
      <c r="F18" s="107"/>
      <c r="G18" s="49"/>
      <c r="H18" s="52" t="str">
        <f>IF(F18="No", "Use of complex or technical language in privacy notices makes it difficult for data subjects to understand how their personal data is processed, increasing the risk of uninformed consent and non-compliance with transparency obligations.", "N/A")</f>
        <v>N/A</v>
      </c>
      <c r="I18" s="14" t="str">
        <f>IF(F18="No","Violation of general privacy principles – Transparency", "")</f>
        <v/>
      </c>
      <c r="J18" s="14" t="str">
        <f>IF(F18="No","SEC. 11, DPA ", "")</f>
        <v/>
      </c>
      <c r="K18" s="12" t="str">
        <f>IF(AND(F7="No", COUNTIF(F8:F17, "False")&gt;9), 4,
 IF(AND(F18="No", 'P1 Threshold Analysis'!D5="Yes"), 3,
 IF(AND(F18="No", COUNTIF(F8:F17, "FALSE")&gt;0, 'P1 Threshold Analysis'!D4="Yes", 'P1 Threshold Analysis'!D5="No"), 2, "")))</f>
        <v/>
      </c>
      <c r="L18" s="12" t="str">
        <f>IF(AND(F7="No", COUNTIF(F8:F17, "False")&gt;9), 4,
 IF(AND(F18="No", 'P1 Threshold Analysis'!D5="Yes"), 3,
 IF(AND(F18="No", COUNTIF(F8:F17, "FALSE")&gt;0, 'P1 Threshold Analysis'!D4="Yes", 'P1 Threshold Analysis'!D5="No"), 2, "")))</f>
        <v/>
      </c>
      <c r="M18" s="12" t="str">
        <f>IF(OR(K18="", L18=""), "",
 IF(K18*L18&gt;=10, IF(K18*L18&lt;=16, "High Risk", ""),
 IF(K18*L18&gt;=6, IF(K18*L18&lt;=9, "Medium Risk", ""),
 IF(K18*L18&gt;=2, IF(K18*L18&lt;=4, "Low Risk", ""),
 IF(K18*L18=1, "Negligible", "")))))</f>
        <v/>
      </c>
    </row>
    <row r="19" spans="2:22" s="2" customFormat="1" ht="26.45" customHeight="1">
      <c r="B19" s="341" t="s">
        <v>139</v>
      </c>
      <c r="C19" s="341"/>
      <c r="D19" s="341"/>
      <c r="E19" s="341"/>
      <c r="F19" s="341"/>
      <c r="G19" s="341"/>
      <c r="H19" s="341"/>
      <c r="I19" s="341"/>
      <c r="J19" s="341"/>
      <c r="K19" s="341"/>
      <c r="L19" s="341"/>
      <c r="M19" s="341"/>
      <c r="N19" s="94"/>
      <c r="O19" s="96"/>
      <c r="P19" s="94"/>
      <c r="Q19" s="94"/>
      <c r="R19" s="96"/>
      <c r="S19" s="96"/>
      <c r="T19" s="96"/>
      <c r="U19" s="96"/>
      <c r="V19" s="94"/>
    </row>
    <row r="20" spans="2:22" ht="121.5" customHeight="1">
      <c r="B20" s="103">
        <v>1</v>
      </c>
      <c r="C20" s="331" t="s">
        <v>140</v>
      </c>
      <c r="D20" s="331"/>
      <c r="E20" s="331"/>
      <c r="F20" s="12"/>
      <c r="G20" s="49"/>
      <c r="H20" s="101" t="str">
        <f>IF(F20="No", "Processing personal data for purposes that are incompatible with the declared purpose and contrary to law, morals, or public policy may lead to regulatory sanctions, reputational damage, and loss of public trust.", "")</f>
        <v/>
      </c>
      <c r="I20" s="14" t="str">
        <f>IF(F20="No", "Violation of general privacy principles – Legitimate Purpose", "")</f>
        <v/>
      </c>
      <c r="J20" s="12" t="str">
        <f>IF(F20="No", " 
SEC. 11, DPA", "")</f>
        <v/>
      </c>
      <c r="K20" s="12" t="str">
        <f>IF(AND(F20="No", 'P1 Threshold Analysis'!D5="Yes"),4, IF(AND(F20="No", 'P1 Threshold Analysis'!D4="Yes"), 3,""))</f>
        <v/>
      </c>
      <c r="L20" s="12" t="str">
        <f>IF(AND(F20="No", 'P1 Threshold Analysis'!D5="Yes"),4, IF(AND(F20="No", 'P1 Threshold Analysis'!D4="Yes"), 3,""))</f>
        <v/>
      </c>
      <c r="M20" s="12" t="str">
        <f>IF(OR(K20="", L20=""), "",
 IF(K20*L20&gt;=10, IF(K20*L20&lt;=16, "High Risk", ""),
 IF(K20*L20&gt;=6, IF(K20*L20&lt;=9, "Medium Risk", ""),
 IF(K20*L20&gt;=2, IF(K20*L20&lt;=4, "Low Risk", ""),
 IF(K20*L20=1, "Negligible", "")))))</f>
        <v/>
      </c>
    </row>
    <row r="21" spans="2:22" ht="129.6" customHeight="1">
      <c r="B21" s="103">
        <v>2</v>
      </c>
      <c r="C21" s="331" t="s">
        <v>141</v>
      </c>
      <c r="D21" s="331"/>
      <c r="E21" s="331"/>
      <c r="F21" s="12"/>
      <c r="G21" s="74"/>
      <c r="H21" s="101" t="str">
        <f>IF(F21="No", "Processing personal data without a valid legal basis under Sections 4, 12, or 13 of the Data Privacy Act exposes the organization to legal liabilities, and penalties.", "")</f>
        <v/>
      </c>
      <c r="I21" s="14" t="str">
        <f>IF(F21="No", "Violation of general privacy principles – Legitimate Purpose", "")</f>
        <v/>
      </c>
      <c r="J21" s="12" t="str">
        <f>IF(F21="No", " 
SEC. 11, DPA", "")</f>
        <v/>
      </c>
      <c r="K21" s="12" t="str">
        <f>IF(AND(F21="No", 'P1 Threshold Analysis'!D5="Yes"),4, IF(AND(F21="No", 'P1 Threshold Analysis'!D4="Yes"), 3,""))</f>
        <v/>
      </c>
      <c r="L21" s="12" t="str">
        <f>IF(AND(F21="No", 'P1 Threshold Analysis'!D5="Yes"),4, IF(AND(F21="No", 'P1 Threshold Analysis'!D4="Yes"), 3,""))</f>
        <v/>
      </c>
      <c r="M21" s="12" t="str">
        <f>IF(OR(K21="", L21=""), "",
 IF(K21*L21&gt;=10, IF(K21*L21&lt;=16, "High Risk", ""),
 IF(K21*L21&gt;=6, IF(K21*L21&lt;=9, "Medium Risk", ""),
 IF(K21*L21&gt;=2, IF(K21*L21&lt;=4, "Low Risk", ""),
 IF(K21*L21=1, "Negligible", "")))))</f>
        <v/>
      </c>
    </row>
    <row r="22" spans="2:22" s="2" customFormat="1" ht="26.45" customHeight="1">
      <c r="B22" s="340" t="s">
        <v>142</v>
      </c>
      <c r="C22" s="340"/>
      <c r="D22" s="340"/>
      <c r="E22" s="340"/>
      <c r="F22" s="340"/>
      <c r="G22" s="340"/>
      <c r="H22" s="340"/>
      <c r="I22" s="340"/>
      <c r="J22" s="340"/>
      <c r="K22" s="340"/>
      <c r="L22" s="340"/>
      <c r="M22" s="340"/>
      <c r="N22" s="94"/>
      <c r="O22" s="96"/>
      <c r="P22" s="94"/>
      <c r="Q22" s="94"/>
      <c r="R22" s="96"/>
      <c r="S22" s="96"/>
      <c r="T22" s="96"/>
      <c r="U22" s="96"/>
      <c r="V22" s="94"/>
    </row>
    <row r="23" spans="2:22" ht="45" customHeight="1">
      <c r="B23" s="337" t="s">
        <v>143</v>
      </c>
      <c r="C23" s="337"/>
      <c r="D23" s="108" t="s">
        <v>144</v>
      </c>
      <c r="E23" s="108" t="s">
        <v>145</v>
      </c>
      <c r="F23" s="108" t="s">
        <v>146</v>
      </c>
      <c r="G23" s="108" t="s">
        <v>147</v>
      </c>
      <c r="H23" s="98" t="s">
        <v>120</v>
      </c>
      <c r="I23" s="98" t="s">
        <v>121</v>
      </c>
      <c r="J23" s="98" t="s">
        <v>122</v>
      </c>
      <c r="K23" s="98" t="s">
        <v>123</v>
      </c>
      <c r="L23" s="98" t="s">
        <v>124</v>
      </c>
      <c r="M23" s="98" t="s">
        <v>125</v>
      </c>
    </row>
    <row r="24" spans="2:22" ht="186" customHeight="1">
      <c r="B24" s="336" t="s">
        <v>520</v>
      </c>
      <c r="C24" s="336"/>
      <c r="D24" s="12" t="s">
        <v>420</v>
      </c>
      <c r="E24" s="12" t="s">
        <v>420</v>
      </c>
      <c r="F24" s="104" t="s">
        <v>521</v>
      </c>
      <c r="G24" s="104"/>
      <c r="H24" s="101" t="str">
        <f>IF(OR(D24="No", E24="No", F24="No", F24="Optional"),
"For Collection Form" &amp; CHAR(10) &amp;
"Collecting excessive or irrelevant data increases the risk of misuse, breaches, and non-compliance with data minimization." &amp; CHAR(10) &amp; CHAR(10) &amp;
"For Off-the-Shelf Software" &amp; CHAR(10) &amp;
"Pre-enabled features may process data without a lawful basis, risking unauthorized use.",
"")</f>
        <v>For Collection Form
Collecting excessive or irrelevant data increases the risk of misuse, breaches, and non-compliance with data minimization.
For Off-the-Shelf Software
Pre-enabled features may process data without a lawful basis, risking unauthorized use.</v>
      </c>
      <c r="I24" s="14" t="str">
        <f>IF(OR(D24="No", E24="No", F24="No", F24="Optional"),
"Violation of general privacy principles – Proportionality / Data Minimization" &amp; CHAR(10) &amp; CHAR(10) &amp;
"For Off-the-Shelf Software" &amp; CHAR(10) &amp;
"Violation of general privacy principles – Proportionality / Data Minimization / Privacy-by-Design / Privacy-by-Default",
"")</f>
        <v>Violation of general privacy principles – Proportionality / Data Minimization
For Off-the-Shelf Software
Violation of general privacy principles – Proportionality / Data Minimization / Privacy-by-Design / Privacy-by-Default</v>
      </c>
      <c r="J24" s="12" t="str">
        <f>IF(OR(D24="No", E24="No", F24="Optional"), "SEC. 11, DPA ", "")</f>
        <v xml:space="preserve">SEC. 11, DPA </v>
      </c>
      <c r="K24" s="12" t="str">
        <f>IF(AND('P1 Threshold Analysis'!D5="Yes", OR(D24="No", E24="No", F24="No", F24="Optional")), 4, IF(AND('P1 Threshold Analysis'!D4="Yes", OR(D24="No", E24="No", F24="No", F24="Optional")), 3, ""))</f>
        <v/>
      </c>
      <c r="L24" s="12" t="str">
        <f>IF(AND('P1 Threshold Analysis'!D5="Yes", OR(D24="No", E24="No", F24="No", F24="Optional")), 4, IF(AND('P1 Threshold Analysis'!D4="Yes", OR(D24="No", E24="No", F24="No", F24="Optional")), 3, ""))</f>
        <v/>
      </c>
      <c r="M24" s="12" t="str">
        <f>IF(OR(K24="", L24=""), "",
 IF(K24*L24&gt;=10, IF(K24*L24&lt;=16, "High Risk", ""),
 IF(K24*L24&gt;=6, IF(K24*L24&lt;=9, "Medium Risk", ""),
 IF(K24*L24&gt;=2, IF(K24*L24&lt;=4, "Low Risk", ""),
 IF(K24*L24=1, "Negligible", "")))))</f>
        <v/>
      </c>
    </row>
    <row r="25" spans="2:22" ht="183.6" customHeight="1">
      <c r="B25" s="336"/>
      <c r="C25" s="336"/>
      <c r="D25" s="12"/>
      <c r="E25" s="12"/>
      <c r="F25" s="104"/>
      <c r="G25" s="104"/>
      <c r="H25" s="101" t="str">
        <f t="shared" ref="H25:H28" si="0">IF(OR(D25="No", E25="No", F25="No", F25="Optional"),
"For Collection Form" &amp; CHAR(10) &amp;
"Collecting excessive or irrelevant data increases the risk of misuse, breaches, and non-compliance with data minimization." &amp; CHAR(10) &amp; CHAR(10) &amp;
"For Off-the-Shelf Software" &amp; CHAR(10) &amp;
"Pre-enabled features may process data without a lawful basis, risking unauthorized use.",
"")</f>
        <v/>
      </c>
      <c r="I25" s="14" t="str">
        <f t="shared" ref="I25:I28" si="1">IF(OR(D25="No", E25="No", F25="No", F25="Optional"),
"Violation of general privacy principles – Proportionality / Data Minimization" &amp; CHAR(10) &amp; CHAR(10) &amp;
"For Off-the-Shelf Software" &amp; CHAR(10) &amp;
"Violation of general privacy principles – Proportionality / Data Minimization / Privacy-by-Design / Privacy-by-Default",
"")</f>
        <v/>
      </c>
      <c r="J25" s="12" t="str">
        <f t="shared" ref="J25:J28" si="2">IF(OR(D25="No", E25="No", F25="No", F25="Optional"), "SEC. 11, DPA ", "")</f>
        <v/>
      </c>
      <c r="K25" s="12" t="str">
        <f>IF(AND('P1 Threshold Analysis'!D5="Yes", OR(D25="No", E25="No", F25="No", F25="Optional")), 4, IF(AND('P1 Threshold Analysis'!D4="Yes", OR(D25="No", E25="No", F25="No", F25="Optional")), 3, ""))</f>
        <v/>
      </c>
      <c r="L25" s="12" t="str">
        <f>IF(AND('P1 Threshold Analysis'!D5="Yes", OR(D25="No", E25="No", F25="No", F25="Optional")), 4, IF(AND('P1 Threshold Analysis'!D4="Yes", OR(D25="No", E25="No", F25="No", F25="Optional")), 3, ""))</f>
        <v/>
      </c>
      <c r="M25" s="12" t="str">
        <f t="shared" ref="M25:M28" si="3">IF(OR(K25="", L25=""), "",
 IF(K25*L25&gt;=10, IF(K25*L25&lt;=16, "High Risk", ""),
 IF(K25*L25&gt;=6, IF(K25*L25&lt;=9, "Medium Risk", ""),
 IF(K25*L25&gt;=2, IF(K25*L25&lt;=4, "Low Risk", ""),
 IF(K25*L25=1, "Negligible", "")))))</f>
        <v/>
      </c>
    </row>
    <row r="26" spans="2:22" ht="199.5" customHeight="1">
      <c r="B26" s="336"/>
      <c r="C26" s="336"/>
      <c r="D26" s="12"/>
      <c r="E26" s="12"/>
      <c r="F26" s="104"/>
      <c r="G26" s="104"/>
      <c r="H26" s="101" t="str">
        <f t="shared" si="0"/>
        <v/>
      </c>
      <c r="I26" s="14" t="str">
        <f t="shared" si="1"/>
        <v/>
      </c>
      <c r="J26" s="12" t="str">
        <f t="shared" si="2"/>
        <v/>
      </c>
      <c r="K26" s="12" t="str">
        <f>IF(AND('P1 Threshold Analysis'!D5="Yes", OR(D26="No", E26="No", F26="No", F26="Optional")), 4, IF(AND('P1 Threshold Analysis'!D4="Yes", OR(D26="No", E26="No", F26="No", F26="Optional")), 3, ""))</f>
        <v/>
      </c>
      <c r="L26" s="12" t="str">
        <f>IF(AND('P1 Threshold Analysis'!D5="Yes", OR(D26="No", E26="No", F26="No", F26="Optional")), 4, IF(AND('P1 Threshold Analysis'!D4="Yes", OR(D26="No", E26="No", F26="No", F26="Optional")), 3, ""))</f>
        <v/>
      </c>
      <c r="M26" s="12" t="str">
        <f t="shared" si="3"/>
        <v/>
      </c>
    </row>
    <row r="27" spans="2:22" ht="141.6" customHeight="1">
      <c r="B27" s="336"/>
      <c r="C27" s="336"/>
      <c r="D27" s="12"/>
      <c r="E27" s="12"/>
      <c r="F27" s="104"/>
      <c r="G27" s="104"/>
      <c r="H27" s="101" t="str">
        <f t="shared" si="0"/>
        <v/>
      </c>
      <c r="I27" s="14" t="str">
        <f t="shared" si="1"/>
        <v/>
      </c>
      <c r="J27" s="12" t="str">
        <f t="shared" si="2"/>
        <v/>
      </c>
      <c r="K27" s="12" t="str">
        <f>IF(AND('P1 Threshold Analysis'!D5="Yes", OR(D27="No", E27="No", F27="No", F27="Optional")), 4, IF(AND('P1 Threshold Analysis'!D4="Yes", OR(D27="No", E27="No", F27="No", F27="Optional")), 3, ""))</f>
        <v/>
      </c>
      <c r="L27" s="12" t="str">
        <f>IF(AND('P1 Threshold Analysis'!D5="Yes", OR(D27="No", E27="No", F27="No", F27="Optional")), 4, IF(AND('P1 Threshold Analysis'!D4="Yes", OR(D27="No", E27="No", F27="No", F27="Optional")), 3, ""))</f>
        <v/>
      </c>
      <c r="M27" s="12" t="str">
        <f t="shared" si="3"/>
        <v/>
      </c>
    </row>
    <row r="28" spans="2:22" ht="136.5" customHeight="1">
      <c r="B28" s="336"/>
      <c r="C28" s="336"/>
      <c r="D28" s="12"/>
      <c r="E28" s="12"/>
      <c r="F28" s="104"/>
      <c r="G28" s="104"/>
      <c r="H28" s="101" t="str">
        <f t="shared" si="0"/>
        <v/>
      </c>
      <c r="I28" s="14" t="str">
        <f t="shared" si="1"/>
        <v/>
      </c>
      <c r="J28" s="12" t="str">
        <f t="shared" si="2"/>
        <v/>
      </c>
      <c r="K28" s="12" t="str">
        <f>IF(AND('P1 Threshold Analysis'!D5="Yes", OR(D28="No", E28="No", F28="No", F28="Optional")), 4, IF(AND('P1 Threshold Analysis'!D4="Yes", OR(D28="No", E28="No", F28="No", F28="Optional")), 3, ""))</f>
        <v/>
      </c>
      <c r="L28" s="12" t="str">
        <f>IF(AND('P1 Threshold Analysis'!D5="Yes", OR(D28="No", E28="No", F28="No", F28="Optional")), 4, IF(AND('P1 Threshold Analysis'!D4="Yes", OR(D28="No", E28="No", F28="No", F28="Optional")), 3, ""))</f>
        <v/>
      </c>
      <c r="M28" s="12" t="str">
        <f t="shared" si="3"/>
        <v/>
      </c>
    </row>
    <row r="29" spans="2:22" s="2" customFormat="1" ht="26.45" customHeight="1">
      <c r="B29" s="340" t="s">
        <v>148</v>
      </c>
      <c r="C29" s="340"/>
      <c r="D29" s="340"/>
      <c r="E29" s="340"/>
      <c r="F29" s="340"/>
      <c r="G29" s="340"/>
      <c r="H29" s="340"/>
      <c r="I29" s="340"/>
      <c r="J29" s="340"/>
      <c r="K29" s="340"/>
      <c r="L29" s="340"/>
      <c r="M29" s="340"/>
      <c r="N29" s="94"/>
      <c r="O29" s="96"/>
      <c r="P29" s="94"/>
      <c r="Q29" s="94"/>
      <c r="R29" s="96"/>
      <c r="S29" s="96"/>
      <c r="T29" s="96"/>
      <c r="U29" s="96"/>
      <c r="V29" s="94"/>
    </row>
    <row r="30" spans="2:22" ht="134.25" customHeight="1">
      <c r="B30" s="103">
        <v>1</v>
      </c>
      <c r="C30" s="331" t="s">
        <v>149</v>
      </c>
      <c r="D30" s="331"/>
      <c r="E30" s="331"/>
      <c r="F30" s="12"/>
      <c r="G30" s="74"/>
      <c r="H30" s="101" t="str">
        <f>IF(F30="No", "The use of biased or manipulative language in the Privacy Notice/Consent Form undermines the clarity of consent, potentially leading to invalid consent and non-compliance with data protection regulations. ", "")</f>
        <v/>
      </c>
      <c r="I30" s="14" t="str">
        <f>IF(F30="No", "Violation of general privacy principles – Fairness ", "")</f>
        <v/>
      </c>
      <c r="J30" s="12" t="str">
        <f>IF(F30="No", "SEC. 11, DPA  ", "")</f>
        <v/>
      </c>
      <c r="K30" s="12" t="str">
        <f>IF(AND(F30="No", 'P1 Threshold Analysis'!D5="Yes"), 4, IF(AND(F30="No", 'P1 Threshold Analysis'!D4="Yes"),3,""))</f>
        <v/>
      </c>
      <c r="L30" s="12" t="str">
        <f>IF(AND(F30="No", 'P1 Threshold Analysis'!D5="Yes"), 4, IF(AND(F30="No", 'P1 Threshold Analysis'!D4="Yes"),3,""))</f>
        <v/>
      </c>
      <c r="M30" s="12" t="str">
        <f>IF(OR(K30="", L30=""), "",
 IF(K30*L30&gt;=10, IF(K30*L30&lt;=16, "High Risk", ""),
 IF(K30*L30&gt;=6, IF(K30*L30&lt;=9, "Medium Risk", ""),
 IF(K30*L30&gt;=2, IF(K30*L30&lt;=4, "Low Risk", ""),
 IF(K30*L30=1, "Negligible", "")))))</f>
        <v/>
      </c>
    </row>
    <row r="31" spans="2:22" s="2" customFormat="1" ht="26.45" customHeight="1">
      <c r="B31" s="340" t="s">
        <v>150</v>
      </c>
      <c r="C31" s="340"/>
      <c r="D31" s="340"/>
      <c r="E31" s="340"/>
      <c r="F31" s="340"/>
      <c r="G31" s="340"/>
      <c r="H31" s="340"/>
      <c r="I31" s="340"/>
      <c r="J31" s="340"/>
      <c r="K31" s="340"/>
      <c r="L31" s="340"/>
      <c r="M31" s="340"/>
      <c r="N31" s="94"/>
      <c r="O31" s="96"/>
      <c r="P31" s="94"/>
      <c r="Q31" s="94"/>
      <c r="R31" s="96"/>
      <c r="S31" s="96"/>
      <c r="T31" s="96"/>
      <c r="U31" s="96"/>
      <c r="V31" s="94"/>
    </row>
    <row r="32" spans="2:22" ht="21" customHeight="1">
      <c r="B32" s="338">
        <v>1</v>
      </c>
      <c r="C32" s="334" t="s">
        <v>151</v>
      </c>
      <c r="D32" s="334"/>
      <c r="E32" s="334"/>
      <c r="F32" s="104"/>
      <c r="G32" s="105"/>
      <c r="H32" s="267" t="str">
        <f>IF(F32="No", "Inaccurate or outdated personal data can lead to incorrect decisions, harm to data subjects, and non-compliance with data accuracy requirements, undermining the integrity of the processing system. ", "")</f>
        <v/>
      </c>
      <c r="I32" s="230" t="str">
        <f>IF(F32="No", "Violation of general privacy principles – Accuracy  ", "")</f>
        <v/>
      </c>
      <c r="J32" s="224" t="str">
        <f>IF(F32="No", "SEC. 11, DPA  ", "")</f>
        <v/>
      </c>
      <c r="K32" s="224" t="str">
        <f>IF(AND(F32="No", 'P1 Threshold Analysis'!D5="Yes"), 4, IF(AND(F32="No", 'P1 Threshold Analysis'!D4="Yes"),3,""))</f>
        <v/>
      </c>
      <c r="L32" s="224" t="str">
        <f>IF(AND(F32="No", 'P1 Threshold Analysis'!D5="Yes"), 4, IF(AND(F32="No", 'P1 Threshold Analysis'!D4="Yes"),3,""))</f>
        <v/>
      </c>
      <c r="M32" s="224" t="str">
        <f>IF(OR(K32="", L32=""), "",
 IF(K32*L32&gt;=10, IF(K32*L32&lt;=16, "High Risk", ""),
 IF(K32*L32&gt;=6, IF(K32*L32&lt;=9, "Medium Risk", ""),
 IF(K32*L32&gt;=2, IF(K32*L32&lt;=4, "Low Risk", ""),
 IF(K32*L32=1, "Negligible", "")))))</f>
        <v/>
      </c>
      <c r="O32" s="333"/>
      <c r="R32" s="333"/>
    </row>
    <row r="33" spans="2:22" ht="21" customHeight="1">
      <c r="B33" s="338"/>
      <c r="C33" s="332" t="s">
        <v>152</v>
      </c>
      <c r="D33" s="332"/>
      <c r="E33" s="332"/>
      <c r="F33" s="106" t="b">
        <v>0</v>
      </c>
      <c r="G33" s="74"/>
      <c r="H33" s="267"/>
      <c r="I33" s="230"/>
      <c r="J33" s="224"/>
      <c r="K33" s="224"/>
      <c r="L33" s="224"/>
      <c r="M33" s="224"/>
      <c r="O33" s="333"/>
      <c r="R33" s="333"/>
    </row>
    <row r="34" spans="2:22" ht="21" customHeight="1">
      <c r="B34" s="338"/>
      <c r="C34" s="332" t="s">
        <v>153</v>
      </c>
      <c r="D34" s="332"/>
      <c r="E34" s="332"/>
      <c r="F34" s="106" t="b">
        <v>0</v>
      </c>
      <c r="G34" s="74"/>
      <c r="H34" s="267"/>
      <c r="I34" s="230"/>
      <c r="J34" s="224"/>
      <c r="K34" s="224"/>
      <c r="L34" s="224"/>
      <c r="M34" s="224"/>
      <c r="O34" s="333"/>
      <c r="R34" s="333"/>
    </row>
    <row r="35" spans="2:22" ht="21" customHeight="1">
      <c r="B35" s="338"/>
      <c r="C35" s="332" t="s">
        <v>154</v>
      </c>
      <c r="D35" s="332"/>
      <c r="E35" s="332"/>
      <c r="F35" s="106" t="b">
        <v>0</v>
      </c>
      <c r="G35" s="74"/>
      <c r="H35" s="267"/>
      <c r="I35" s="230"/>
      <c r="J35" s="224"/>
      <c r="K35" s="224"/>
      <c r="L35" s="224"/>
      <c r="M35" s="224"/>
      <c r="O35" s="333"/>
      <c r="R35" s="333"/>
    </row>
    <row r="36" spans="2:22" ht="21" customHeight="1">
      <c r="B36" s="338"/>
      <c r="C36" s="332" t="s">
        <v>155</v>
      </c>
      <c r="D36" s="332"/>
      <c r="E36" s="332"/>
      <c r="F36" s="106" t="b">
        <v>0</v>
      </c>
      <c r="G36" s="74"/>
      <c r="H36" s="267"/>
      <c r="I36" s="230"/>
      <c r="J36" s="224"/>
      <c r="K36" s="224"/>
      <c r="L36" s="224"/>
      <c r="M36" s="224"/>
      <c r="O36" s="333"/>
      <c r="R36" s="333"/>
    </row>
    <row r="37" spans="2:22" ht="35.1" customHeight="1">
      <c r="B37" s="338">
        <v>2</v>
      </c>
      <c r="C37" s="334" t="s">
        <v>156</v>
      </c>
      <c r="D37" s="334"/>
      <c r="E37" s="334"/>
      <c r="F37" s="104"/>
      <c r="G37" s="105"/>
      <c r="H37" s="267" t="str">
        <f>IF(F37="No", "Failure to rectify or restrict processing of inaccurate or incomplete data compromises data quality and may result in violations of data subjects’ rights. ", "")</f>
        <v/>
      </c>
      <c r="I37" s="230" t="str">
        <f>IF(F37="No", "Violation of general privacy principles – Accuracy  ", "")</f>
        <v/>
      </c>
      <c r="J37" s="224" t="str">
        <f>IF(F37="No", "SEC. 11, DPA  ", "")</f>
        <v/>
      </c>
      <c r="K37" s="224" t="str">
        <f>IF(AND(F37="No", 'P1 Threshold Analysis'!D5="Yes"), 4, IF(AND(F37="No", 'P1 Threshold Analysis'!D4="Yes"),3,""))</f>
        <v/>
      </c>
      <c r="L37" s="224" t="str">
        <f>IF(AND(F37="No", 'P1 Threshold Analysis'!D5="Yes"), 4, IF(AND(F37="No", 'P1 Threshold Analysis'!D4="Yes"),3,""))</f>
        <v/>
      </c>
      <c r="M37" s="224" t="str">
        <f>IF(OR(K37="", L37=""), "",
 IF(K37*L37&gt;=10, IF(K37*L37&lt;=16, "High Risk", ""),
 IF(K37*L37&gt;=6, IF(K37*L37&lt;=9, "Medium Risk", ""),
 IF(K37*L37&gt;=2, IF(K37*L37&lt;=4, "Low Risk", ""),
 IF(K37*L37=1, "Negligible", "")))))</f>
        <v/>
      </c>
      <c r="O37" s="333"/>
      <c r="R37" s="333"/>
    </row>
    <row r="38" spans="2:22" ht="17.45" customHeight="1">
      <c r="B38" s="338"/>
      <c r="C38" s="332" t="s">
        <v>157</v>
      </c>
      <c r="D38" s="332"/>
      <c r="E38" s="332"/>
      <c r="F38" s="106" t="b">
        <v>0</v>
      </c>
      <c r="G38" s="74"/>
      <c r="H38" s="267"/>
      <c r="I38" s="230"/>
      <c r="J38" s="224"/>
      <c r="K38" s="224"/>
      <c r="L38" s="224"/>
      <c r="M38" s="224"/>
      <c r="O38" s="333"/>
      <c r="R38" s="333"/>
    </row>
    <row r="39" spans="2:22" ht="39.6" customHeight="1">
      <c r="B39" s="338"/>
      <c r="C39" s="332" t="s">
        <v>158</v>
      </c>
      <c r="D39" s="332"/>
      <c r="E39" s="332"/>
      <c r="F39" s="106" t="b">
        <v>0</v>
      </c>
      <c r="G39" s="74"/>
      <c r="H39" s="267"/>
      <c r="I39" s="230"/>
      <c r="J39" s="224"/>
      <c r="K39" s="224"/>
      <c r="L39" s="224"/>
      <c r="M39" s="224"/>
      <c r="O39" s="333"/>
      <c r="R39" s="333"/>
    </row>
    <row r="40" spans="2:22" ht="36" customHeight="1">
      <c r="B40" s="338"/>
      <c r="C40" s="332" t="s">
        <v>159</v>
      </c>
      <c r="D40" s="332"/>
      <c r="E40" s="332"/>
      <c r="F40" s="106" t="b">
        <v>0</v>
      </c>
      <c r="G40" s="74"/>
      <c r="H40" s="267"/>
      <c r="I40" s="230"/>
      <c r="J40" s="224"/>
      <c r="K40" s="224"/>
      <c r="L40" s="224"/>
      <c r="M40" s="224"/>
      <c r="O40" s="333"/>
      <c r="R40" s="333"/>
    </row>
    <row r="41" spans="2:22" s="2" customFormat="1" ht="26.45" customHeight="1">
      <c r="B41" s="341" t="s">
        <v>160</v>
      </c>
      <c r="C41" s="341"/>
      <c r="D41" s="341"/>
      <c r="E41" s="341"/>
      <c r="F41" s="341"/>
      <c r="G41" s="341"/>
      <c r="H41" s="341"/>
      <c r="I41" s="341"/>
      <c r="J41" s="341"/>
      <c r="K41" s="341"/>
      <c r="L41" s="341"/>
      <c r="M41" s="341"/>
      <c r="N41" s="94"/>
      <c r="O41" s="96"/>
      <c r="P41" s="94"/>
      <c r="Q41" s="94"/>
      <c r="R41" s="96"/>
      <c r="S41" s="96"/>
      <c r="T41" s="96"/>
      <c r="U41" s="96"/>
      <c r="V41" s="94"/>
    </row>
    <row r="42" spans="2:22" ht="126" customHeight="1">
      <c r="B42" s="103">
        <v>1</v>
      </c>
      <c r="C42" s="339" t="s">
        <v>161</v>
      </c>
      <c r="D42" s="331"/>
      <c r="E42" s="331"/>
      <c r="F42" s="12"/>
      <c r="G42" s="74"/>
      <c r="H42" s="101" t="str">
        <f>IF(F42="No", "Processing personal data for unspecified or incompatible purposes increases the risk of unauthorized use, undermining data subject trust and exposing the organization to regulatory penalties. ", "")</f>
        <v/>
      </c>
      <c r="I42" s="14" t="str">
        <f>IF(F42="No", "Violation of general privacy principles – Purpose Limitation
Unlawful Processing - Processing of Personal Data for Unauthorized Purposes   ", "")</f>
        <v/>
      </c>
      <c r="J42" s="14" t="str">
        <f>IF(F42="No", "SEC. 11, DPA 
SEC. 28, DPA   ", "")</f>
        <v/>
      </c>
      <c r="K42" s="12" t="str">
        <f>IF(AND(F42="No", 'P1 Threshold Analysis'!D5="Yes"), 4, IF(AND(F42="No", 'P1 Threshold Analysis'!D4="Yes"),3,""))</f>
        <v/>
      </c>
      <c r="L42" s="12" t="str">
        <f>IF(AND(F42="No", 'P1 Threshold Analysis'!D5="Yes"), 4, IF(AND(F42="No", 'P1 Threshold Analysis'!D4="Yes"),3,""))</f>
        <v/>
      </c>
      <c r="M42" s="12" t="str">
        <f>IF(OR(K42="", L42=""), "",
 IF(K42*L42&gt;=10, IF(K42*L42&lt;=16, "High Risk", ""),
 IF(K42*L42&gt;=6, IF(K42*L42&lt;=9, "Medium Risk", ""),
 IF(K42*L42&gt;=2, IF(K42*L42&lt;=4, "Low Risk", ""),
 IF(K42*L42=1, "Negligible", "")))))</f>
        <v/>
      </c>
    </row>
    <row r="43" spans="2:22" s="2" customFormat="1" ht="26.45" customHeight="1">
      <c r="B43" s="340" t="s">
        <v>162</v>
      </c>
      <c r="C43" s="340"/>
      <c r="D43" s="340"/>
      <c r="E43" s="340"/>
      <c r="F43" s="340"/>
      <c r="G43" s="340"/>
      <c r="H43" s="340"/>
      <c r="I43" s="340"/>
      <c r="J43" s="340"/>
      <c r="K43" s="340"/>
      <c r="L43" s="340"/>
      <c r="M43" s="340"/>
      <c r="N43" s="94"/>
      <c r="O43" s="96"/>
      <c r="P43" s="94"/>
      <c r="Q43" s="94"/>
      <c r="R43" s="96"/>
      <c r="S43" s="96"/>
      <c r="T43" s="96"/>
      <c r="U43" s="96"/>
      <c r="V43" s="94"/>
    </row>
    <row r="44" spans="2:22" ht="34.5" customHeight="1">
      <c r="B44" s="338">
        <v>1</v>
      </c>
      <c r="C44" s="334" t="s">
        <v>163</v>
      </c>
      <c r="D44" s="334"/>
      <c r="E44" s="334"/>
      <c r="F44" s="12"/>
      <c r="G44" s="105"/>
      <c r="H44" s="267" t="str">
        <f>IF(F44="No", "Retaining personal data longer than necessary increases the risk of data breaches, unauthorized access, and non-compliance with data retention policies.", "N/A")</f>
        <v>N/A</v>
      </c>
      <c r="I44" s="230" t="str">
        <f>IF(F44="No", "Violation of general privacy principles – Storage Limitation","")</f>
        <v/>
      </c>
      <c r="J44" s="230" t="str">
        <f>IF(F44="No", "SEC. 11, DPA ","")</f>
        <v/>
      </c>
      <c r="K44" s="224" t="str">
        <f>IF(AND(F44="No", 'P1 Threshold Analysis'!D5="Yes"), 4, IF(AND(F44="No", 'P1 Threshold Analysis'!D4="Yes"),3,""))</f>
        <v/>
      </c>
      <c r="L44" s="224" t="str">
        <f>IF(AND(F44="No", 'P1 Threshold Analysis'!D5="Yes"), 4, IF(AND(F44="No", 'P1 Threshold Analysis'!D4="Yes"),3,""))</f>
        <v/>
      </c>
      <c r="M44" s="224" t="str">
        <f>IF(OR(K44="", L44=""), "",
 IF(K44*L44&gt;=10, IF(K44*L44&lt;=16, "High Risk", ""),
 IF(K44*L44&gt;=6, IF(K44*L44&lt;=9, "Medium Risk", ""),
 IF(K44*L44&gt;=2, IF(K44*L44&lt;=4, "Low Risk", ""),
 IF(K44*L44=1, "Negligible", "")))))</f>
        <v/>
      </c>
      <c r="O44" s="333"/>
      <c r="R44" s="333"/>
    </row>
    <row r="45" spans="2:22" ht="15.95" customHeight="1">
      <c r="B45" s="338"/>
      <c r="C45" s="332" t="s">
        <v>164</v>
      </c>
      <c r="D45" s="332"/>
      <c r="E45" s="332"/>
      <c r="F45" s="106" t="b">
        <v>0</v>
      </c>
      <c r="G45" s="74"/>
      <c r="H45" s="267"/>
      <c r="I45" s="230"/>
      <c r="J45" s="230"/>
      <c r="K45" s="224"/>
      <c r="L45" s="224"/>
      <c r="M45" s="224"/>
      <c r="O45" s="333"/>
      <c r="R45" s="333"/>
    </row>
    <row r="46" spans="2:22" ht="15.95" customHeight="1">
      <c r="B46" s="338"/>
      <c r="C46" s="332" t="s">
        <v>165</v>
      </c>
      <c r="D46" s="332"/>
      <c r="E46" s="332"/>
      <c r="F46" s="106" t="b">
        <v>0</v>
      </c>
      <c r="G46" s="74"/>
      <c r="H46" s="267"/>
      <c r="I46" s="230"/>
      <c r="J46" s="230"/>
      <c r="K46" s="224"/>
      <c r="L46" s="224"/>
      <c r="M46" s="224"/>
      <c r="O46" s="333"/>
      <c r="R46" s="333"/>
    </row>
    <row r="47" spans="2:22" ht="15.95" customHeight="1">
      <c r="B47" s="338"/>
      <c r="C47" s="332" t="s">
        <v>166</v>
      </c>
      <c r="D47" s="332"/>
      <c r="E47" s="332"/>
      <c r="F47" s="106" t="b">
        <v>0</v>
      </c>
      <c r="G47" s="74"/>
      <c r="H47" s="267"/>
      <c r="I47" s="230"/>
      <c r="J47" s="230"/>
      <c r="K47" s="224"/>
      <c r="L47" s="224"/>
      <c r="M47" s="224"/>
      <c r="O47" s="333"/>
      <c r="R47" s="333"/>
    </row>
    <row r="48" spans="2:22" ht="15.95" customHeight="1">
      <c r="B48" s="338"/>
      <c r="C48" s="332" t="s">
        <v>167</v>
      </c>
      <c r="D48" s="332"/>
      <c r="E48" s="332"/>
      <c r="F48" s="106" t="b">
        <v>0</v>
      </c>
      <c r="G48" s="74"/>
      <c r="H48" s="267"/>
      <c r="I48" s="230"/>
      <c r="J48" s="230"/>
      <c r="K48" s="224"/>
      <c r="L48" s="224"/>
      <c r="M48" s="224"/>
      <c r="O48" s="333"/>
      <c r="R48" s="333"/>
    </row>
    <row r="49" spans="2:18" ht="42.6" customHeight="1">
      <c r="B49" s="338"/>
      <c r="C49" s="332" t="s">
        <v>168</v>
      </c>
      <c r="D49" s="332"/>
      <c r="E49" s="332"/>
      <c r="F49" s="106" t="b">
        <v>0</v>
      </c>
      <c r="G49" s="74"/>
      <c r="H49" s="267"/>
      <c r="I49" s="230"/>
      <c r="J49" s="230"/>
      <c r="K49" s="224"/>
      <c r="L49" s="224"/>
      <c r="M49" s="224"/>
      <c r="O49" s="333"/>
      <c r="R49" s="333"/>
    </row>
    <row r="50" spans="2:18" ht="14.1" customHeight="1"/>
    <row r="51" spans="2:18" ht="14.1" customHeight="1"/>
    <row r="52" spans="2:18" ht="14.1" customHeight="1"/>
    <row r="53" spans="2:18" ht="14.1" customHeight="1"/>
    <row r="54" spans="2:18" ht="14.1" customHeight="1"/>
    <row r="55" spans="2:18" ht="14.1" customHeight="1"/>
    <row r="56" spans="2:18" ht="14.1" customHeight="1"/>
    <row r="57" spans="2:18" ht="14.1" customHeight="1"/>
  </sheetData>
  <sheetProtection algorithmName="SHA-512" hashValue="Z5TlHkSoNIv994EyuY8rsjVS4ort644zd/7MbdDhuY0/YGtuONO2JmWCEUAXBdFQHej//LHMqiQEFs0JC68uyg==" saltValue="RqIEFrtPF9ERnAGEaHkybQ==" spinCount="100000" sheet="1" objects="1" scenarios="1"/>
  <protectedRanges>
    <protectedRange sqref="G7:G18" name="Range1"/>
    <protectedRange sqref="F7:G18" name="Range2"/>
    <protectedRange sqref="F20:G21" name="Range3"/>
    <protectedRange sqref="B24:G28" name="Range4"/>
    <protectedRange sqref="F30:G30" name="Range5"/>
    <protectedRange sqref="F32:G40" name="Range6"/>
    <protectedRange sqref="F42:G42" name="Range7"/>
    <protectedRange sqref="F44:G49" name="Range8"/>
  </protectedRanges>
  <mergeCells count="89">
    <mergeCell ref="O32:O36"/>
    <mergeCell ref="R32:R36"/>
    <mergeCell ref="O37:O40"/>
    <mergeCell ref="R37:R40"/>
    <mergeCell ref="O44:O49"/>
    <mergeCell ref="R44:R49"/>
    <mergeCell ref="U7:U17"/>
    <mergeCell ref="S7:S17"/>
    <mergeCell ref="T7:T17"/>
    <mergeCell ref="V7:V17"/>
    <mergeCell ref="B2:M3"/>
    <mergeCell ref="M7:M17"/>
    <mergeCell ref="B5:M5"/>
    <mergeCell ref="C8:E8"/>
    <mergeCell ref="C6:E6"/>
    <mergeCell ref="L44:L49"/>
    <mergeCell ref="M44:M49"/>
    <mergeCell ref="H37:H40"/>
    <mergeCell ref="I37:I40"/>
    <mergeCell ref="J37:J40"/>
    <mergeCell ref="K37:K40"/>
    <mergeCell ref="L37:L40"/>
    <mergeCell ref="H32:H36"/>
    <mergeCell ref="I32:I36"/>
    <mergeCell ref="J32:J36"/>
    <mergeCell ref="K32:K36"/>
    <mergeCell ref="L32:L36"/>
    <mergeCell ref="M32:M36"/>
    <mergeCell ref="C21:E21"/>
    <mergeCell ref="B32:B36"/>
    <mergeCell ref="C12:E12"/>
    <mergeCell ref="B37:B40"/>
    <mergeCell ref="C32:E32"/>
    <mergeCell ref="B28:C28"/>
    <mergeCell ref="C34:E34"/>
    <mergeCell ref="C35:E35"/>
    <mergeCell ref="C36:E36"/>
    <mergeCell ref="B19:M19"/>
    <mergeCell ref="B22:M22"/>
    <mergeCell ref="B31:M31"/>
    <mergeCell ref="B29:M29"/>
    <mergeCell ref="B27:C27"/>
    <mergeCell ref="B7:B17"/>
    <mergeCell ref="C42:E42"/>
    <mergeCell ref="C48:E48"/>
    <mergeCell ref="C37:E37"/>
    <mergeCell ref="C46:E46"/>
    <mergeCell ref="C38:E38"/>
    <mergeCell ref="C44:E44"/>
    <mergeCell ref="C47:E47"/>
    <mergeCell ref="C45:E45"/>
    <mergeCell ref="B43:M43"/>
    <mergeCell ref="B41:M41"/>
    <mergeCell ref="C40:E40"/>
    <mergeCell ref="M37:M40"/>
    <mergeCell ref="H44:H49"/>
    <mergeCell ref="I44:I49"/>
    <mergeCell ref="J44:J49"/>
    <mergeCell ref="K44:K49"/>
    <mergeCell ref="C49:E49"/>
    <mergeCell ref="C11:E11"/>
    <mergeCell ref="C39:E39"/>
    <mergeCell ref="C30:E30"/>
    <mergeCell ref="B25:C25"/>
    <mergeCell ref="C13:E13"/>
    <mergeCell ref="C14:E14"/>
    <mergeCell ref="C15:E15"/>
    <mergeCell ref="B24:C24"/>
    <mergeCell ref="B23:C23"/>
    <mergeCell ref="C16:E16"/>
    <mergeCell ref="C17:E17"/>
    <mergeCell ref="C20:E20"/>
    <mergeCell ref="B44:B49"/>
    <mergeCell ref="C33:E33"/>
    <mergeCell ref="B26:C26"/>
    <mergeCell ref="C18:E18"/>
    <mergeCell ref="C9:E9"/>
    <mergeCell ref="O7:O17"/>
    <mergeCell ref="Q7:Q17"/>
    <mergeCell ref="R7:R17"/>
    <mergeCell ref="P7:P17"/>
    <mergeCell ref="C7:E7"/>
    <mergeCell ref="C10:E10"/>
    <mergeCell ref="H7:H17"/>
    <mergeCell ref="I7:I17"/>
    <mergeCell ref="J7:J17"/>
    <mergeCell ref="K7:K17"/>
    <mergeCell ref="L7:L17"/>
    <mergeCell ref="N7:N17"/>
  </mergeCells>
  <conditionalFormatting sqref="M5:M32 M37 M42:M44 M50:M1048576">
    <cfRule type="containsText" dxfId="108" priority="4" operator="containsText" text="High">
      <formula>NOT(ISERROR(SEARCH("High",M5)))</formula>
    </cfRule>
    <cfRule type="containsText" dxfId="107" priority="5" operator="containsText" text="Medium ">
      <formula>NOT(ISERROR(SEARCH("Medium ",M5)))</formula>
    </cfRule>
    <cfRule type="containsText" dxfId="106" priority="6" operator="containsText" text="Low">
      <formula>NOT(ISERROR(SEARCH("Low",M5)))</formula>
    </cfRule>
  </conditionalFormatting>
  <conditionalFormatting sqref="N6:V6">
    <cfRule type="containsText" dxfId="105" priority="1" operator="containsText" text="High">
      <formula>NOT(ISERROR(SEARCH("High",N6)))</formula>
    </cfRule>
    <cfRule type="containsText" dxfId="104" priority="2" operator="containsText" text="Medium ">
      <formula>NOT(ISERROR(SEARCH("Medium ",N6)))</formula>
    </cfRule>
    <cfRule type="containsText" dxfId="103" priority="3" operator="containsText" text="Low">
      <formula>NOT(ISERROR(SEARCH("Low",N6)))</formula>
    </cfRule>
  </conditionalFormatting>
  <dataValidations count="15">
    <dataValidation type="list" allowBlank="1" showInputMessage="1" showErrorMessage="1" prompt="Choose the applicable option from the dropdown" sqref="F21" xr:uid="{5A957ECB-C6CB-4571-B00F-5E2040EA4A00}">
      <formula1>"Yes, No"</formula1>
    </dataValidation>
    <dataValidation allowBlank="1" showInputMessage="1" showErrorMessage="1" prompt="e.g., easy opt-in, hard opt-out, unwanted data retention, undisclosed data sharing, pre-checked box." sqref="G30" xr:uid="{05054C0A-79EC-413D-B6ED-762B245CC430}"/>
    <dataValidation allowBlank="1" showInputMessage="1" showErrorMessage="1" prompt="Provide Retention Period and Basis" sqref="G45:G49" xr:uid="{D9F0BCCE-924C-43DC-AFE2-D3A50BF5E1B1}"/>
    <dataValidation type="list" allowBlank="1" showInputMessage="1" showErrorMessage="1" prompt="Choose the applicable option from the dropdown" sqref="F42 F20 F30 F18 F44" xr:uid="{EC1D96EF-10A7-4C19-A3FD-6295C30F6AF9}">
      <formula1>"Yes,No"</formula1>
    </dataValidation>
    <dataValidation type="list" allowBlank="1" showInputMessage="1" showErrorMessage="1" sqref="F24:F28" xr:uid="{623C3CD5-A9AB-46FD-825A-FD8CC190D61F}">
      <formula1>"Required,Optional"</formula1>
    </dataValidation>
    <dataValidation allowBlank="1" showInputMessage="1" showErrorMessage="1" sqref="F8:F17 F45:F49 F33:F36 F38:F40 K30 K20:L20 K24:K28 G7" xr:uid="{F7B8CEA7-F86C-4CCF-B64B-79242E134001}"/>
    <dataValidation type="list" allowBlank="1" showInputMessage="1" showErrorMessage="1" sqref="F7" xr:uid="{3ABFE891-8606-482E-AC53-CB9A0992BC85}">
      <formula1>"Yes,No"</formula1>
    </dataValidation>
    <dataValidation type="list" allowBlank="1" showInputMessage="1" showErrorMessage="1" sqref="D24:E28 F32 F37" xr:uid="{83A7889C-33F7-4E48-9462-CC10632FDB20}">
      <formula1>"Yes, No"</formula1>
    </dataValidation>
    <dataValidation type="list" showInputMessage="1" showErrorMessage="1" sqref="K32:L36" xr:uid="{0E237FDD-8192-40F1-BC6D-256AD3B73A90}">
      <formula1>"1, 2, 3, 4"</formula1>
    </dataValidation>
    <dataValidation type="list" allowBlank="1" showInputMessage="1" showErrorMessage="1" sqref="K42:L42 K21 L24:L28 L30" xr:uid="{337EA032-507B-4BF4-8101-3AA0F511DFD2}">
      <formula1>"1, 2, 3, 4"</formula1>
    </dataValidation>
    <dataValidation type="list" allowBlank="1" showInputMessage="1" showErrorMessage="1" sqref="I32:I37 K7:L18" xr:uid="{73B2FADB-EF45-40BC-BE33-F6B3D1D086CF}">
      <formula1>"1,2,3,4"</formula1>
    </dataValidation>
    <dataValidation type="list" showInputMessage="1" showErrorMessage="1" sqref="K44:L49 K37:L40" xr:uid="{056A4DC5-9EF0-46D2-88EB-17F20C13EE4A}">
      <formula1>"1,2,3,4"</formula1>
    </dataValidation>
    <dataValidation type="list" allowBlank="1" showInputMessage="1" showErrorMessage="1" sqref="N7 N18" xr:uid="{553A9328-DCDF-4F97-A7C3-CB1C7355C7FC}">
      <formula1>"Avoid,Reduce,Share,Accept"</formula1>
    </dataValidation>
    <dataValidation type="list" allowBlank="1" showInputMessage="1" showErrorMessage="1" sqref="P7 P18" xr:uid="{6F5E167C-F2D6-4CA2-A0EF-FAEABAC0626D}">
      <formula1>"Planned,Ongoing,Completed"</formula1>
    </dataValidation>
    <dataValidation type="list" allowBlank="1" showInputMessage="1" showErrorMessage="1" sqref="Q7:Q28" xr:uid="{2A2E5E76-B00F-4378-B165-D5B6C71C7E50}">
      <formula1>"High,Medium,Low"</formula1>
    </dataValidation>
  </dataValidations>
  <pageMargins left="0.25" right="0.25" top="0.75" bottom="0.75" header="0.3" footer="0.3"/>
  <pageSetup scale="18"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E5B49-FC89-44F2-8498-FF5845FE18BE}">
  <sheetPr>
    <tabColor theme="3" tint="0.249977111117893"/>
  </sheetPr>
  <dimension ref="B2:AZ43"/>
  <sheetViews>
    <sheetView showGridLines="0" topLeftCell="A36" zoomScale="83" zoomScaleNormal="90" workbookViewId="0">
      <selection activeCell="F43" sqref="F43:G43"/>
    </sheetView>
  </sheetViews>
  <sheetFormatPr defaultColWidth="8.75" defaultRowHeight="14.25"/>
  <cols>
    <col min="1" max="1" width="8.75" style="1"/>
    <col min="2" max="2" width="5.125" style="1" customWidth="1"/>
    <col min="3" max="5" width="21" style="1" customWidth="1"/>
    <col min="6" max="6" width="4.875" style="1" customWidth="1"/>
    <col min="7" max="7" width="9.75" style="1" customWidth="1"/>
    <col min="8" max="8" width="24.125" style="1" customWidth="1"/>
    <col min="9" max="9" width="25.375" style="1" customWidth="1"/>
    <col min="10" max="10" width="20.125" style="1" customWidth="1"/>
    <col min="11" max="11" width="20.375" style="1" customWidth="1"/>
    <col min="12" max="14" width="11" style="1" customWidth="1"/>
    <col min="15" max="15" width="14.625" style="1" bestFit="1" customWidth="1"/>
    <col min="16" max="16" width="25.875" style="94" customWidth="1"/>
    <col min="17" max="17" width="6.875" style="1" bestFit="1" customWidth="1"/>
    <col min="18" max="18" width="19.25" style="1" bestFit="1" customWidth="1"/>
    <col min="19" max="19" width="17.25" style="94" customWidth="1"/>
    <col min="20" max="20" width="9" style="1" customWidth="1"/>
    <col min="21" max="21" width="11" style="1" customWidth="1"/>
    <col min="22" max="22" width="10.875" style="96" customWidth="1"/>
    <col min="23" max="23" width="11.125" style="1" bestFit="1" customWidth="1"/>
    <col min="24" max="16384" width="8.75" style="1"/>
  </cols>
  <sheetData>
    <row r="2" spans="2:23" ht="33.75" customHeight="1">
      <c r="B2" s="358" t="s">
        <v>169</v>
      </c>
      <c r="C2" s="358"/>
      <c r="D2" s="358"/>
      <c r="E2" s="358"/>
      <c r="F2" s="358"/>
      <c r="G2" s="358"/>
      <c r="H2" s="358"/>
    </row>
    <row r="3" spans="2:23" ht="22.5" customHeight="1">
      <c r="B3" s="114">
        <v>1</v>
      </c>
      <c r="C3" s="359" t="s">
        <v>170</v>
      </c>
      <c r="D3" s="359"/>
      <c r="E3" s="359"/>
      <c r="F3" s="359"/>
      <c r="G3" s="359"/>
      <c r="H3" s="359"/>
    </row>
    <row r="4" spans="2:23" ht="22.5" customHeight="1">
      <c r="B4" s="114">
        <v>2</v>
      </c>
      <c r="C4" s="359" t="s">
        <v>171</v>
      </c>
      <c r="D4" s="359"/>
      <c r="E4" s="359"/>
      <c r="F4" s="359"/>
      <c r="G4" s="359"/>
      <c r="H4" s="359"/>
    </row>
    <row r="5" spans="2:23" ht="35.25" customHeight="1">
      <c r="B5" s="114">
        <v>3</v>
      </c>
      <c r="C5" s="359" t="s">
        <v>172</v>
      </c>
      <c r="D5" s="359"/>
      <c r="E5" s="359"/>
      <c r="F5" s="359"/>
      <c r="G5" s="359"/>
      <c r="H5" s="359"/>
    </row>
    <row r="6" spans="2:23" ht="30" customHeight="1">
      <c r="B6" s="114">
        <v>4</v>
      </c>
      <c r="C6" s="359" t="s">
        <v>173</v>
      </c>
      <c r="D6" s="359"/>
      <c r="E6" s="359"/>
      <c r="F6" s="359"/>
      <c r="G6" s="359"/>
      <c r="H6" s="359"/>
    </row>
    <row r="7" spans="2:23" ht="22.5" customHeight="1"/>
    <row r="8" spans="2:23" ht="27" customHeight="1">
      <c r="B8" s="341" t="s">
        <v>174</v>
      </c>
      <c r="C8" s="341"/>
      <c r="D8" s="341"/>
      <c r="E8" s="341"/>
      <c r="F8" s="341"/>
      <c r="G8" s="341"/>
      <c r="H8" s="341"/>
      <c r="I8" s="341"/>
      <c r="J8" s="341"/>
      <c r="K8" s="341"/>
      <c r="L8" s="341"/>
      <c r="M8" s="341"/>
      <c r="N8" s="341"/>
    </row>
    <row r="9" spans="2:23" ht="27" customHeight="1">
      <c r="B9" s="360" t="s">
        <v>175</v>
      </c>
      <c r="C9" s="361"/>
      <c r="D9" s="361"/>
      <c r="E9" s="361"/>
      <c r="F9" s="362"/>
      <c r="G9" s="362"/>
      <c r="H9" s="362"/>
      <c r="I9" s="362"/>
      <c r="J9" s="362"/>
      <c r="K9" s="362"/>
      <c r="L9" s="362"/>
      <c r="M9" s="362"/>
      <c r="N9" s="362"/>
    </row>
    <row r="10" spans="2:23" s="94" customFormat="1" ht="26.25" customHeight="1">
      <c r="B10" s="108" t="s">
        <v>32</v>
      </c>
      <c r="C10" s="337" t="s">
        <v>118</v>
      </c>
      <c r="D10" s="337"/>
      <c r="E10" s="337"/>
      <c r="F10" s="337" t="s">
        <v>176</v>
      </c>
      <c r="G10" s="337"/>
      <c r="H10" s="108" t="s">
        <v>35</v>
      </c>
      <c r="I10" s="98" t="s">
        <v>120</v>
      </c>
      <c r="J10" s="98" t="s">
        <v>121</v>
      </c>
      <c r="K10" s="98" t="s">
        <v>122</v>
      </c>
      <c r="L10" s="98" t="s">
        <v>123</v>
      </c>
      <c r="M10" s="98" t="s">
        <v>124</v>
      </c>
      <c r="N10" s="98" t="s">
        <v>125</v>
      </c>
      <c r="O10" s="99"/>
      <c r="P10" s="100"/>
      <c r="Q10" s="99"/>
      <c r="R10" s="99"/>
      <c r="S10" s="100"/>
      <c r="T10" s="100"/>
      <c r="U10" s="100"/>
      <c r="V10" s="100"/>
      <c r="W10" s="99"/>
    </row>
    <row r="11" spans="2:23" ht="144.6" customHeight="1">
      <c r="B11" s="103">
        <v>1</v>
      </c>
      <c r="C11" s="339" t="s">
        <v>177</v>
      </c>
      <c r="D11" s="331"/>
      <c r="E11" s="331"/>
      <c r="F11" s="224"/>
      <c r="G11" s="224"/>
      <c r="H11" s="74"/>
      <c r="I11" s="101" t="str">
        <f>IF(F11="No", "Failing to obtain consent in a verifiable form exposes the organization to legal risks, as consent may be challenged, leading to invalid consent and potential non-compliance with data protection laws.", "")</f>
        <v/>
      </c>
      <c r="J11" s="14" t="str">
        <f>IF(F11="No", "Unlawful Processing - Unauthorized Processing of Personal Data","")</f>
        <v/>
      </c>
      <c r="K11" s="12" t="str">
        <f>IF(F11="No", "SEC. 25, DPA", "")</f>
        <v/>
      </c>
      <c r="L11" s="12" t="str">
        <f>IF(AND(F11="No", 'P1 Threshold Analysis'!D5="Yes"), 4, IF(AND(F11="No", 'P1 Threshold Analysis'!D5="No"),3,""))</f>
        <v/>
      </c>
      <c r="M11" s="12" t="str">
        <f>IF(AND(F11="No", 'P1 Threshold Analysis'!D5="Yes"), 4, IF(AND(F11="No", 'P1 Threshold Analysis'!D5="No"),3,""))</f>
        <v/>
      </c>
      <c r="N11" s="14" t="str">
        <f>IF(OR(L11="", M11=""), "",
 IF(L11*M11&gt;=10, IF(L11*M11&lt;=16, "High Risk", ""),
 IF(L11*M11&gt;=6, IF(L11*M11&lt;=9, "Medium Risk", ""),
 IF(L11*M11&gt;=2, IF(L11*M11&lt;=4, "Low Risk", ""),
 IF(L11*M11=1, "Negligible", "")))))</f>
        <v/>
      </c>
      <c r="P11" s="109"/>
      <c r="S11" s="96"/>
    </row>
    <row r="12" spans="2:23" ht="46.5" customHeight="1">
      <c r="B12" s="338">
        <v>2</v>
      </c>
      <c r="C12" s="349" t="s">
        <v>178</v>
      </c>
      <c r="D12" s="349"/>
      <c r="E12" s="349"/>
      <c r="F12" s="224"/>
      <c r="G12" s="224"/>
      <c r="H12" s="74"/>
      <c r="I12" s="267" t="str">
        <f>IF(F12="No", "Inadequate or unclear information in the consent form or Privacy Notice prevents data subjects from making informed decisions, leading to invalid consent and potential non-compliance with data protection laws. ", "")</f>
        <v/>
      </c>
      <c r="J12" s="230" t="str">
        <f>IF(F12="No", "Unlawful Processing - Unauthorized Processing of Personal Data 
Violation of general privacy principles – Transparency ","")</f>
        <v/>
      </c>
      <c r="K12" s="230" t="str">
        <f>IF(F12="No", "SEC. 25, DPA 
SEC. 11, DPA ", "")</f>
        <v/>
      </c>
      <c r="L12" s="224" t="str">
        <f>IF(AND(F12="No", COUNTIF(F13:G16, "False")&gt;3), 4, IF(AND(F12="No",  'P1 Threshold Analysis'!D5="Yes", COUNTIF(F13:G16, "True")&gt;0), 4, IF(AND(F12="No", 'P1 Threshold Analysis'!D5="No",COUNTIF(F13:G16, "True")&gt;0), 3, "")))</f>
        <v/>
      </c>
      <c r="M12" s="224" t="str">
        <f>IF(AND(F12="No", COUNTIF(F13:G16, "False")&gt;3), 4, IF(AND(F12="No",  'P1 Threshold Analysis'!D5="Yes", COUNTIF(F13:G16, "True")&gt;0), 4, IF(AND(F12="No", 'P1 Threshold Analysis'!D5="No",COUNTIF(F13:G16, "True")&gt;0), 3, "")))</f>
        <v/>
      </c>
      <c r="N12" s="230" t="str">
        <f>IF(OR(L12="", M12=""), "",
 IF(L12*M12&gt;=10, IF(L12*M12&lt;=16, "High Risk", ""),
 IF(L12*M12&gt;=6, IF(L12*M12&lt;=9, "Medium Risk", ""),
 IF(L12*M12&gt;=2, IF(L12*M12&lt;=4, "Low Risk", ""),
 IF(L12*M12=1, "Negligible", "")))))</f>
        <v/>
      </c>
      <c r="P12" s="333"/>
      <c r="S12" s="333"/>
    </row>
    <row r="13" spans="2:23" ht="21" customHeight="1">
      <c r="B13" s="338"/>
      <c r="C13" s="351" t="s">
        <v>127</v>
      </c>
      <c r="D13" s="351"/>
      <c r="E13" s="351"/>
      <c r="F13" s="370" t="b">
        <v>0</v>
      </c>
      <c r="G13" s="370"/>
      <c r="H13" s="74"/>
      <c r="I13" s="267"/>
      <c r="J13" s="230"/>
      <c r="K13" s="230"/>
      <c r="L13" s="224"/>
      <c r="M13" s="224"/>
      <c r="N13" s="230"/>
      <c r="P13" s="333"/>
      <c r="S13" s="333"/>
    </row>
    <row r="14" spans="2:23" ht="21" customHeight="1">
      <c r="B14" s="338"/>
      <c r="C14" s="351" t="s">
        <v>179</v>
      </c>
      <c r="D14" s="351"/>
      <c r="E14" s="351"/>
      <c r="F14" s="370" t="b">
        <v>0</v>
      </c>
      <c r="G14" s="370"/>
      <c r="H14" s="74"/>
      <c r="I14" s="267"/>
      <c r="J14" s="230"/>
      <c r="K14" s="230"/>
      <c r="L14" s="224"/>
      <c r="M14" s="224"/>
      <c r="N14" s="230"/>
      <c r="P14" s="333"/>
      <c r="S14" s="333"/>
    </row>
    <row r="15" spans="2:23" ht="21" customHeight="1">
      <c r="B15" s="338"/>
      <c r="C15" s="351" t="s">
        <v>180</v>
      </c>
      <c r="D15" s="351"/>
      <c r="E15" s="351"/>
      <c r="F15" s="370" t="b">
        <v>0</v>
      </c>
      <c r="G15" s="370"/>
      <c r="H15" s="74"/>
      <c r="I15" s="267"/>
      <c r="J15" s="230"/>
      <c r="K15" s="230"/>
      <c r="L15" s="224"/>
      <c r="M15" s="224"/>
      <c r="N15" s="230"/>
      <c r="P15" s="333"/>
      <c r="S15" s="333"/>
    </row>
    <row r="16" spans="2:23" ht="47.45" customHeight="1">
      <c r="B16" s="338"/>
      <c r="C16" s="351" t="s">
        <v>181</v>
      </c>
      <c r="D16" s="351"/>
      <c r="E16" s="351"/>
      <c r="F16" s="370" t="b">
        <v>0</v>
      </c>
      <c r="G16" s="370"/>
      <c r="H16" s="74"/>
      <c r="I16" s="267"/>
      <c r="J16" s="230"/>
      <c r="K16" s="230"/>
      <c r="L16" s="224"/>
      <c r="M16" s="224"/>
      <c r="N16" s="230"/>
      <c r="P16" s="333"/>
      <c r="S16" s="333"/>
    </row>
    <row r="17" spans="2:19">
      <c r="B17" s="115">
        <v>3</v>
      </c>
      <c r="C17" s="352" t="s">
        <v>182</v>
      </c>
      <c r="D17" s="353"/>
      <c r="E17" s="353"/>
      <c r="F17" s="387"/>
      <c r="G17" s="387"/>
      <c r="H17" s="116"/>
      <c r="I17" s="110" t="str">
        <f>IF(F17="No", "Obtaining blanket consent without allowing data subjects to choose specific purposes undermines the validity of consent and increases the risk of unlawful processing.", "")</f>
        <v/>
      </c>
      <c r="J17" s="59" t="str">
        <f>IF(F17="No", "Unlawful Processing - Unauthorized Processing of Personal Data 
Violation of general privacy principles – Transparency ","")</f>
        <v/>
      </c>
      <c r="K17" s="59" t="str">
        <f>IF(F17="No", "SEC. 25, DPA 
SEC. 11, DPA", "")</f>
        <v/>
      </c>
      <c r="L17" s="85" t="str">
        <f>IF(AND(F17="No", 'P1 Threshold Analysis'!D5="Yes"), 4, IF(AND(F17="No", 'P1 Threshold Analysis'!D5="No"),3,""))</f>
        <v/>
      </c>
      <c r="M17" s="85" t="str">
        <f>IF(AND(F17="No", 'P1 Threshold Analysis'!D5="Yes"), 4, IF(AND(F17="No", 'P1 Threshold Analysis'!D5="No"),3,""))</f>
        <v/>
      </c>
      <c r="N17" s="59" t="str">
        <f>IF(OR(L17="", M17=""), "",
 IF(L17*M17&gt;=10, IF(L17*M17&lt;=16, "High Risk", ""),
 IF(L17*M17&gt;=6, IF(L17*M17&lt;=9, "Medium Risk", ""),
 IF(L17*M17&gt;=2, IF(L17*M17&lt;=4, "Low Risk", ""),
 IF(L17*M17=1, "Negligible", "")))))</f>
        <v/>
      </c>
      <c r="P17" s="96"/>
    </row>
    <row r="18" spans="2:19">
      <c r="B18" s="103">
        <v>4</v>
      </c>
      <c r="C18" s="331" t="s">
        <v>183</v>
      </c>
      <c r="D18" s="331"/>
      <c r="E18" s="331"/>
      <c r="F18" s="224"/>
      <c r="G18" s="224"/>
      <c r="H18" s="74"/>
      <c r="I18" s="101" t="str">
        <f>IF(F18="No", "Failure to inform data subjects of their right to object or withdraw consent compromises their control over personal data and may result in non-compliance with transparency and consent requirements. ", "")</f>
        <v/>
      </c>
      <c r="J18" s="14" t="str">
        <f>IF(F18="No", "Violation of general privacy principles – Transparency 
Violation of data subject rights - Rights to object  ","")</f>
        <v/>
      </c>
      <c r="K18" s="14" t="str">
        <f>IF(F18="No", "SEC. 11, DPA 
SEC. 34(b), IRR ", "")</f>
        <v/>
      </c>
      <c r="L18" s="12" t="str">
        <f>IF(AND(F18="No", 'P1 Threshold Analysis'!D5="Yes"), 4, IF(AND(F18="No", 'P1 Threshold Analysis'!D5="No"),3,""))</f>
        <v/>
      </c>
      <c r="M18" s="12" t="str">
        <f>IF(AND(F18="No", 'P1 Threshold Analysis'!D5="Yes"), 4, IF(AND(F18="No", 'P1 Threshold Analysis'!D5="No"),3,""))</f>
        <v/>
      </c>
      <c r="N18" s="14" t="str">
        <f>IF(OR(L18="", M18=""), "",
 IF(L18*M18&gt;=10, IF(L18*M18&lt;=16, "High Risk", ""),
 IF(L18*M18&gt;=6, IF(L18*M18&lt;=9, "Medium Risk", ""),
 IF(L18*M18&gt;=2, IF(L18*M18&lt;=4, "Low Risk", ""),
 IF(L18*M18=1, "Negligible", "")))))</f>
        <v/>
      </c>
      <c r="P18" s="96"/>
    </row>
    <row r="19" spans="2:19">
      <c r="B19" s="103">
        <v>5</v>
      </c>
      <c r="C19" s="331" t="s">
        <v>184</v>
      </c>
      <c r="D19" s="331"/>
      <c r="E19" s="331"/>
      <c r="F19" s="224"/>
      <c r="G19" s="224"/>
      <c r="H19" s="74"/>
      <c r="I19" s="101" t="str">
        <f>IF(F19="No", "Failing to inform data subjects about the scope and consequences of withdrawing consent or objecting to processing undermines informed decision-making and increases the risk of disputes or complaints. ", "")</f>
        <v/>
      </c>
      <c r="J19" s="14" t="str">
        <f>IF(F19="No", "Violation of general privacy principles – Transparency
Violation of data subject rights - Rights to object   ","")</f>
        <v/>
      </c>
      <c r="K19" s="14" t="str">
        <f>IF(F19="No", "SEC. 11, DPA  
SEC. 34(b), IRR ", "")</f>
        <v/>
      </c>
      <c r="L19" s="12" t="str">
        <f>IF(AND(F19="No", 'P1 Threshold Analysis'!D5="Yes"), 4, IF(AND(F19="No", 'P1 Threshold Analysis'!D5="No"),3,""))</f>
        <v/>
      </c>
      <c r="M19" s="12" t="str">
        <f>IF(AND(F19="No", 'P1 Threshold Analysis'!D5="Yes"), 4, IF(AND(F19="No", 'P1 Threshold Analysis'!D5="No"),3,""))</f>
        <v/>
      </c>
      <c r="N19" s="14" t="str">
        <f>IF(OR(L19="", M19=""), "",
 IF(L19*M19&gt;=10, IF(L19*M19&lt;=16, "High Risk", ""),
 IF(L19*M19&gt;=6, IF(L19*M19&lt;=9, "Medium Risk", ""),
 IF(L19*M19&gt;=2, IF(L19*M19&lt;=4, "Low Risk", ""),
 IF(L19*M19=1, "Negligible", "")))))</f>
        <v/>
      </c>
      <c r="P19" s="96"/>
      <c r="S19" s="96"/>
    </row>
    <row r="20" spans="2:19" ht="121.5" customHeight="1">
      <c r="B20" s="103">
        <v>6</v>
      </c>
      <c r="C20" s="331" t="s">
        <v>185</v>
      </c>
      <c r="D20" s="331"/>
      <c r="E20" s="331"/>
      <c r="F20" s="224"/>
      <c r="G20" s="224"/>
      <c r="H20" s="74"/>
      <c r="I20" s="101" t="str">
        <f>IF(F20="No", "Continuing to process personal data after a data subject has objected exposes the organization to legal liabilities, regulatory sanctions, and reputational damage, for failing to respect data subject rights. ", "")</f>
        <v/>
      </c>
      <c r="J20" s="14" t="str">
        <f>IF(F20="No", "Violation of data subject rights - Rights to object    ","")</f>
        <v/>
      </c>
      <c r="K20" s="14" t="str">
        <f>IF(F20="No", "SEC. 34(b), IRR ", "")</f>
        <v/>
      </c>
      <c r="L20" s="12" t="str">
        <f>IF(AND(F20="No", 'P1 Threshold Analysis'!D5="Yes"), 4, IF(AND(F20="No", 'P1 Threshold Analysis'!D5="No"),3,""))</f>
        <v/>
      </c>
      <c r="M20" s="12" t="str">
        <f>IF(AND(F20="No", 'P1 Threshold Analysis'!D5="Yes"), 4, IF(AND(F20="No", 'P1 Threshold Analysis'!D5="No"),3,""))</f>
        <v/>
      </c>
      <c r="N20" s="14" t="str">
        <f>IF(OR(L20="", M20=""), "",
 IF(L20*M20&gt;=10, IF(L20*M20&lt;=16, "High Risk", ""),
 IF(L20*M20&gt;=6, IF(L20*M20&lt;=9, "Medium Risk", ""),
 IF(L20*M20&gt;=2, IF(L20*M20&lt;=4, "Low Risk", ""),
 IF(L20*M20=1, "Negligible", "")))))</f>
        <v/>
      </c>
      <c r="P20" s="96"/>
      <c r="S20" s="96"/>
    </row>
    <row r="21" spans="2:19" ht="143.25" customHeight="1">
      <c r="B21" s="103">
        <v>7</v>
      </c>
      <c r="C21" s="331" t="s">
        <v>186</v>
      </c>
      <c r="D21" s="331"/>
      <c r="E21" s="331"/>
      <c r="F21" s="224"/>
      <c r="G21" s="224"/>
      <c r="H21" s="74"/>
      <c r="I21" s="101" t="str">
        <f>IF(F21="No", "Denying data subjects the right to object to processing for direct marketing, profiling, or automated decisions increases the risk of unlawful processing and legal actions, including fines. ", "")</f>
        <v/>
      </c>
      <c r="J21" s="14" t="str">
        <f>IF(F21="No", "
Violation of data subject rights - Rights to object
Unlawful Processing - Unauthorized Processing of Personal Data    ","")</f>
        <v/>
      </c>
      <c r="K21" s="14" t="str">
        <f>IF(F21="No", " 
SEC. 34(b), IRR 
SEC. 25, DPA ", "")</f>
        <v/>
      </c>
      <c r="L21" s="12" t="str">
        <f>IF(AND(F21="No", 'P1 Threshold Analysis'!D5="Yes"), 4, IF(AND(F21="No", 'P1 Threshold Analysis'!D5="No"),3,""))</f>
        <v/>
      </c>
      <c r="M21" s="12" t="str">
        <f>IF(AND(F21="No", 'P1 Threshold Analysis'!D5="Yes"), 4, IF(AND(F21="No", 'P1 Threshold Analysis'!D5="No"),3,""))</f>
        <v/>
      </c>
      <c r="N21" s="14" t="str">
        <f>IF(OR(L21="", M21=""), "",
 IF(L21*M21&gt;=10, IF(L21*M21&lt;=16, "High Risk", ""),
 IF(L21*M21&gt;=6, IF(L21*M21&lt;=9, "Medium Risk", ""),
 IF(L21*M21&gt;=2, IF(L21*M21&lt;=4, "Low Risk", ""),
 IF(L21*M21=1, "Negligible", "")))))</f>
        <v/>
      </c>
      <c r="P21" s="96"/>
      <c r="S21" s="96"/>
    </row>
    <row r="22" spans="2:19" ht="24.75" customHeight="1">
      <c r="B22" s="363" t="s">
        <v>187</v>
      </c>
      <c r="C22" s="365"/>
      <c r="D22" s="365"/>
      <c r="E22" s="365"/>
      <c r="F22" s="365"/>
      <c r="G22" s="365"/>
      <c r="H22" s="365"/>
      <c r="I22" s="365"/>
      <c r="J22" s="365"/>
      <c r="K22" s="365"/>
      <c r="L22" s="365"/>
      <c r="M22" s="365"/>
      <c r="N22" s="365"/>
    </row>
    <row r="23" spans="2:19" ht="66" customHeight="1">
      <c r="B23" s="338">
        <v>1</v>
      </c>
      <c r="C23" s="384" t="s">
        <v>188</v>
      </c>
      <c r="D23" s="382"/>
      <c r="E23" s="385"/>
      <c r="F23" s="386"/>
      <c r="G23" s="386"/>
      <c r="H23" s="117"/>
      <c r="I23" s="354" t="str">
        <f>IF(F23="No", "Denying data subjects the right to confirm if their personal data is being processed and access related details undermines their rights and could result in non-compliance with data protection laws. ", "")</f>
        <v/>
      </c>
      <c r="J23" s="274" t="str">
        <f>IF(F23="No", "
Violation of data subject rights - Right to access    ","")</f>
        <v/>
      </c>
      <c r="K23" s="274" t="str">
        <f>IF(F23="No", " 
SEC. 16(c), DPA ", "")</f>
        <v/>
      </c>
      <c r="L23" s="386" t="str">
        <f>IF(AND(F23="No", 'P1 Threshold Analysis'!D5="Yes"), 4, IF(AND(F23="No", 'P1 Threshold Analysis'!D4="Yes"),3,""))</f>
        <v/>
      </c>
      <c r="M23" s="386" t="str">
        <f>IF(AND(F23="No", 'P1 Threshold Analysis'!D5="Yes"), 4, IF(AND(F23="No", 'P1 Threshold Analysis'!D4="Yes"),3,""))</f>
        <v/>
      </c>
      <c r="N23" s="274" t="str">
        <f>IF(OR(L23="", M23=""), "",
 IF(L23*M23&gt;=10, IF(L23*M23&lt;=16, "High Risk", ""),
 IF(L23*M23&gt;=6, IF(L23*M23&lt;=9, "Medium Risk", ""),
 IF(L23*M23&gt;=2, IF(L23*M23&lt;=4, "Low Risk", ""),
 IF(L23*M23=1, "Negligible", "")))))</f>
        <v/>
      </c>
      <c r="P23" s="333"/>
      <c r="S23" s="333"/>
    </row>
    <row r="24" spans="2:19" ht="15.95" customHeight="1">
      <c r="B24" s="338"/>
      <c r="C24" s="332" t="s">
        <v>189</v>
      </c>
      <c r="D24" s="332"/>
      <c r="E24" s="332"/>
      <c r="F24" s="370"/>
      <c r="G24" s="370"/>
      <c r="H24" s="78"/>
      <c r="I24" s="355"/>
      <c r="J24" s="357"/>
      <c r="K24" s="357"/>
      <c r="L24" s="388"/>
      <c r="M24" s="388"/>
      <c r="N24" s="357"/>
      <c r="P24" s="319"/>
      <c r="S24" s="333"/>
    </row>
    <row r="25" spans="2:19" ht="27" customHeight="1">
      <c r="B25" s="338"/>
      <c r="C25" s="332" t="s">
        <v>190</v>
      </c>
      <c r="D25" s="332"/>
      <c r="E25" s="332"/>
      <c r="F25" s="370"/>
      <c r="G25" s="370"/>
      <c r="H25" s="78"/>
      <c r="I25" s="355"/>
      <c r="J25" s="357"/>
      <c r="K25" s="357"/>
      <c r="L25" s="388"/>
      <c r="M25" s="388"/>
      <c r="N25" s="357"/>
      <c r="P25" s="319"/>
      <c r="S25" s="333"/>
    </row>
    <row r="26" spans="2:19" ht="15.95" customHeight="1">
      <c r="B26" s="338"/>
      <c r="C26" s="332" t="s">
        <v>191</v>
      </c>
      <c r="D26" s="332"/>
      <c r="E26" s="332"/>
      <c r="F26" s="370"/>
      <c r="G26" s="370"/>
      <c r="H26" s="78"/>
      <c r="I26" s="355"/>
      <c r="J26" s="357"/>
      <c r="K26" s="357"/>
      <c r="L26" s="388"/>
      <c r="M26" s="388"/>
      <c r="N26" s="357"/>
      <c r="P26" s="319"/>
      <c r="S26" s="333"/>
    </row>
    <row r="27" spans="2:19" ht="15.95" customHeight="1">
      <c r="B27" s="338"/>
      <c r="C27" s="332" t="s">
        <v>192</v>
      </c>
      <c r="D27" s="332"/>
      <c r="E27" s="332"/>
      <c r="F27" s="370"/>
      <c r="G27" s="370"/>
      <c r="H27" s="78"/>
      <c r="I27" s="355"/>
      <c r="J27" s="357"/>
      <c r="K27" s="357"/>
      <c r="L27" s="388"/>
      <c r="M27" s="388"/>
      <c r="N27" s="357"/>
      <c r="P27" s="319"/>
      <c r="S27" s="333"/>
    </row>
    <row r="28" spans="2:19" ht="25.5" customHeight="1">
      <c r="B28" s="338"/>
      <c r="C28" s="332" t="s">
        <v>193</v>
      </c>
      <c r="D28" s="332"/>
      <c r="E28" s="332"/>
      <c r="F28" s="370"/>
      <c r="G28" s="370"/>
      <c r="H28" s="78"/>
      <c r="I28" s="355"/>
      <c r="J28" s="357"/>
      <c r="K28" s="357"/>
      <c r="L28" s="388"/>
      <c r="M28" s="388"/>
      <c r="N28" s="357"/>
      <c r="P28" s="319"/>
      <c r="S28" s="333"/>
    </row>
    <row r="29" spans="2:19" ht="15.95" customHeight="1">
      <c r="B29" s="338"/>
      <c r="C29" s="332" t="s">
        <v>194</v>
      </c>
      <c r="D29" s="332"/>
      <c r="E29" s="332"/>
      <c r="F29" s="370"/>
      <c r="G29" s="370"/>
      <c r="H29" s="78"/>
      <c r="I29" s="355"/>
      <c r="J29" s="357"/>
      <c r="K29" s="357"/>
      <c r="L29" s="388"/>
      <c r="M29" s="388"/>
      <c r="N29" s="357"/>
      <c r="P29" s="319"/>
      <c r="S29" s="333"/>
    </row>
    <row r="30" spans="2:19" ht="15.95" customHeight="1">
      <c r="B30" s="338"/>
      <c r="C30" s="332" t="s">
        <v>195</v>
      </c>
      <c r="D30" s="332"/>
      <c r="E30" s="332"/>
      <c r="F30" s="370" t="b">
        <v>0</v>
      </c>
      <c r="G30" s="370"/>
      <c r="H30" s="78"/>
      <c r="I30" s="355"/>
      <c r="J30" s="357"/>
      <c r="K30" s="357"/>
      <c r="L30" s="388"/>
      <c r="M30" s="388"/>
      <c r="N30" s="357"/>
      <c r="P30" s="319"/>
      <c r="S30" s="333"/>
    </row>
    <row r="31" spans="2:19" ht="15.95" customHeight="1">
      <c r="B31" s="338"/>
      <c r="C31" s="332" t="s">
        <v>196</v>
      </c>
      <c r="D31" s="332"/>
      <c r="E31" s="332"/>
      <c r="F31" s="370"/>
      <c r="G31" s="370"/>
      <c r="H31" s="78"/>
      <c r="I31" s="355"/>
      <c r="J31" s="357"/>
      <c r="K31" s="357"/>
      <c r="L31" s="388"/>
      <c r="M31" s="388"/>
      <c r="N31" s="357"/>
      <c r="P31" s="319"/>
      <c r="S31" s="333"/>
    </row>
    <row r="32" spans="2:19">
      <c r="B32" s="338"/>
      <c r="C32" s="332" t="s">
        <v>197</v>
      </c>
      <c r="D32" s="332"/>
      <c r="E32" s="332"/>
      <c r="F32" s="373"/>
      <c r="G32" s="373"/>
      <c r="H32" s="81"/>
      <c r="I32" s="356"/>
      <c r="J32" s="275"/>
      <c r="K32" s="275"/>
      <c r="L32" s="387"/>
      <c r="M32" s="387"/>
      <c r="N32" s="275"/>
      <c r="P32" s="319"/>
      <c r="S32" s="333"/>
    </row>
    <row r="33" spans="2:52" ht="74.099999999999994" customHeight="1">
      <c r="B33" s="376" t="s">
        <v>198</v>
      </c>
      <c r="C33" s="377"/>
      <c r="D33" s="377"/>
      <c r="E33" s="378"/>
      <c r="F33" s="371"/>
      <c r="G33" s="371"/>
      <c r="H33" s="372"/>
      <c r="I33" s="372"/>
      <c r="J33" s="372"/>
      <c r="K33" s="372"/>
      <c r="L33" s="372"/>
      <c r="M33" s="372"/>
      <c r="N33" s="372"/>
    </row>
    <row r="34" spans="2:52" ht="157.5" customHeight="1">
      <c r="B34" s="118">
        <v>1</v>
      </c>
      <c r="C34" s="331" t="s">
        <v>199</v>
      </c>
      <c r="D34" s="331"/>
      <c r="E34" s="331"/>
      <c r="F34" s="224"/>
      <c r="G34" s="224"/>
      <c r="H34" s="74"/>
      <c r="I34" s="101" t="str">
        <f>IF(F34="No", "Not allowing data subjects to dispute inaccuracies and correct their personal data within a reasonable time increases the risk of decisions based on incorrect information, leading to potential harm and non-compliance with data accuracy requirements.", "")</f>
        <v/>
      </c>
      <c r="J34" s="14" t="str">
        <f>IF(F34="No", "
Violation of data subject rights - Right to rectification 
Violation of general privacy principles – Accuracy    ","")</f>
        <v/>
      </c>
      <c r="K34" s="14" t="str">
        <f>IF(F34="No", " 
SEC. 16(d), DPA 
SEC. 11, DPA ", "")</f>
        <v/>
      </c>
      <c r="L34" s="12" t="str">
        <f>IF(AND(F34="No", 'P1 Threshold Analysis'!D5="Yes"), 4, IF(AND(F34="No", 'P1 Threshold Analysis'!D4="Yes"),3,""))</f>
        <v/>
      </c>
      <c r="M34" s="12" t="str">
        <f>IF(AND(F34="No", 'P1 Threshold Analysis'!D5="Yes"), 4, IF(AND(F34="No", 'P1 Threshold Analysis'!D4="Yes"),3,""))</f>
        <v/>
      </c>
      <c r="N34" s="14" t="str">
        <f>IF(OR(L34="", M34=""), "",
 IF(L34*M34&gt;=10, IF(L34*M34&lt;=16, "High Risk", ""),
 IF(L34*M34&gt;=6, IF(L34*M34&lt;=9, "Medium Risk", ""),
 IF(L34*M34&gt;=2, IF(L34*M34&lt;=4, "Low Risk", ""),
 IF(L34*M34=1, "Negligible", "")))))</f>
        <v/>
      </c>
      <c r="P34" s="96"/>
    </row>
    <row r="35" spans="2:52" ht="20.45" customHeight="1">
      <c r="B35" s="338">
        <v>2</v>
      </c>
      <c r="C35" s="379" t="s">
        <v>200</v>
      </c>
      <c r="D35" s="380"/>
      <c r="E35" s="380"/>
      <c r="F35" s="380"/>
      <c r="G35" s="380"/>
      <c r="H35" s="381"/>
      <c r="I35" s="381"/>
      <c r="J35" s="382"/>
      <c r="K35" s="382"/>
      <c r="L35" s="381"/>
      <c r="M35" s="381"/>
      <c r="N35" s="383"/>
    </row>
    <row r="36" spans="2:52" ht="153" customHeight="1">
      <c r="B36" s="374"/>
      <c r="C36" s="375" t="s">
        <v>201</v>
      </c>
      <c r="D36" s="375"/>
      <c r="E36" s="375"/>
      <c r="F36" s="224"/>
      <c r="G36" s="224"/>
      <c r="H36" s="78"/>
      <c r="I36" s="112" t="str">
        <f>IF(OR(F36="No", F37="No"), "Failing to ensure that both corrected and retracted personal data are promptly shared with intended recipients increases the risk of data inconsistencies, leading to potential miscommunication or incorrect decision-making. ", "")</f>
        <v/>
      </c>
      <c r="J36" s="350" t="str">
        <f>IF(OR(F36="No", F37="No"), "
Violation of data subject rights - Right to rectification 
Violation of general privacy principles – Accuracy  ","")</f>
        <v/>
      </c>
      <c r="K36" s="273" t="str">
        <f>IF(OR(F36="No", F37="No"), " 
SEC. 16(d), DPA 
SEC. 11, DPA ", "")</f>
        <v/>
      </c>
      <c r="L36" s="12" t="str">
        <f>IF(AND(OR(F36="No", F37="No"), 'P1 Threshold Analysis'!D5="Yes"), 4,
 IF(AND(OR(F36="No", F37="No"), 'P1 Threshold Analysis'!D4="Yes"), 3, ""))</f>
        <v/>
      </c>
      <c r="M36" s="12" t="str">
        <f>IF(AND(OR(F36="No", F37="No"), 'P1 Threshold Analysis'!D5="Yes"), 4,
 IF(AND(OR(F36="No", F37="No"), 'P1 Threshold Analysis'!D4="Yes"), 3, ""))</f>
        <v/>
      </c>
      <c r="N36" s="14" t="str">
        <f>IF(OR(L36="", M36=""), "",
 IF(L36*M36&gt;=10, IF(L36*M36&lt;=16, "High Risk", ""),
 IF(L36*M36&gt;=6, IF(L36*M36&lt;=9, "Medium Risk", ""),
 IF(L36*M36&gt;=2, IF(L36*M36&lt;=4, "Low Risk", ""),
 IF(L36*M36=1, "Negligible", "")))))</f>
        <v/>
      </c>
      <c r="P36" s="96"/>
      <c r="AZ36" s="113" t="s">
        <v>202</v>
      </c>
    </row>
    <row r="37" spans="2:52" ht="118.5" customHeight="1">
      <c r="B37" s="374"/>
      <c r="C37" s="375" t="s">
        <v>203</v>
      </c>
      <c r="D37" s="375"/>
      <c r="E37" s="375"/>
      <c r="F37" s="224"/>
      <c r="G37" s="224"/>
      <c r="H37" s="78"/>
      <c r="I37" s="112" t="str">
        <f>IF(OR(F36="No", F37="No"), "Not informing recipients or third parties about corrected inaccuracies in personal data creates a risk of continued misuse or reliance on outdated information, violating data accuracy principles. ", "")</f>
        <v/>
      </c>
      <c r="J37" s="272"/>
      <c r="K37" s="271"/>
      <c r="L37" s="12" t="str">
        <f>IF(AND(OR(F36="No", F37="No"), 'P1 Threshold Analysis'!D5="Yes"), 4,
 IF(AND(OR(F36="No", F37="No"), 'P1 Threshold Analysis'!D4="Yes"), 3, ""))</f>
        <v/>
      </c>
      <c r="M37" s="14" t="str">
        <f>IF(AND(OR(F36="No", F37="No"), 'P1 Threshold Analysis'!D5="Yes"), 4,
 IF(AND(OR(F36="No", F37="No"), 'P1 Threshold Analysis'!D4="Yes"), 3, ""))</f>
        <v/>
      </c>
      <c r="N37" s="14" t="str">
        <f>IF(OR(L37="", M37=""), "",
 IF(L37*M37&gt;=10, IF(L37*M37&lt;=16, "High Risk", ""),
 IF(L37*M37&gt;=6, IF(L37*M37&lt;=9, "Medium Risk", ""),
 IF(L37*M37&gt;=2, IF(L37*M37&lt;=4, "Low Risk", ""),
 IF(L37*M37=1, "Negligible", "")))))</f>
        <v/>
      </c>
      <c r="P37" s="96"/>
    </row>
    <row r="38" spans="2:52" ht="30.75" customHeight="1">
      <c r="B38" s="363" t="s">
        <v>204</v>
      </c>
      <c r="C38" s="364"/>
      <c r="D38" s="364"/>
      <c r="E38" s="364"/>
      <c r="F38" s="364"/>
      <c r="G38" s="364"/>
      <c r="H38" s="364"/>
      <c r="I38" s="364"/>
      <c r="J38" s="365"/>
      <c r="K38" s="365"/>
      <c r="L38" s="364"/>
      <c r="M38" s="364"/>
      <c r="N38" s="364"/>
    </row>
    <row r="39" spans="2:52">
      <c r="B39" s="103">
        <v>1</v>
      </c>
      <c r="C39" s="339" t="s">
        <v>205</v>
      </c>
      <c r="D39" s="331"/>
      <c r="E39" s="331"/>
      <c r="F39" s="224"/>
      <c r="G39" s="224"/>
      <c r="H39" s="78"/>
      <c r="I39" s="101" t="str">
        <f>IF(F39="No", "Denying data subjects the right to request suspension or deletion of their personal data limits their control over their information and exposes the organization to non-compliance with data protection and retention obligations.", "")</f>
        <v/>
      </c>
      <c r="J39" s="14" t="str">
        <f>IF(F39="No", "
Violation of data subject rights - Right to erasure or blocking  ","")</f>
        <v/>
      </c>
      <c r="K39" s="14" t="str">
        <f>IF(F39="No", " 
SEC. 16(e), DPA  ", "")</f>
        <v/>
      </c>
      <c r="L39" s="12" t="str">
        <f>IF(AND(F39="No", 'P1 Threshold Analysis'!D5="Yes"), 4, IF(AND(F39="No", 'P1 Threshold Analysis'!D4="Yes"),3,""))</f>
        <v/>
      </c>
      <c r="M39" s="12" t="str">
        <f>IF(AND(F39="No", 'P1 Threshold Analysis'!D5="Yes"), 4, IF(AND(F39="No", 'P1 Threshold Analysis'!D4="Yes"),3,""))</f>
        <v/>
      </c>
      <c r="N39" s="14" t="str">
        <f>IF(OR(L39="", M39=""), "",
 IF(L39*M39&gt;=10, IF(L39*M39&lt;=16, "High Risk", ""),
 IF(L39*M39&gt;=6, IF(L39*M39&lt;=9, "Medium Risk", ""),
 IF(L39*M39&gt;=2, IF(L39*M39&lt;=4, "Low Risk", ""),
 IF(L39*M39=1, "Negligible", "")))))</f>
        <v/>
      </c>
      <c r="P39" s="96"/>
    </row>
    <row r="40" spans="2:52" ht="22.5" customHeight="1">
      <c r="B40" s="366" t="s">
        <v>206</v>
      </c>
      <c r="C40" s="367"/>
      <c r="D40" s="367"/>
      <c r="E40" s="367"/>
      <c r="F40" s="367"/>
      <c r="G40" s="367"/>
      <c r="H40" s="367"/>
      <c r="I40" s="367"/>
      <c r="J40" s="367"/>
      <c r="K40" s="367"/>
      <c r="L40" s="367"/>
      <c r="M40" s="367"/>
      <c r="N40" s="368"/>
    </row>
    <row r="41" spans="2:52">
      <c r="B41" s="103">
        <v>1</v>
      </c>
      <c r="C41" s="331" t="s">
        <v>207</v>
      </c>
      <c r="D41" s="331"/>
      <c r="E41" s="331"/>
      <c r="F41" s="224"/>
      <c r="G41" s="224"/>
      <c r="H41" s="78"/>
      <c r="I41" s="101" t="str">
        <f>IF(F41="No", "The lack of a process to provide data subjects with their personal data in a portable, structured format increases the risk of non-compliance with data portability requirements and limits data subjects' control over their data. ", "")</f>
        <v/>
      </c>
      <c r="J41" s="14" t="str">
        <f>IF(F41="No", "
Violation of data subject rights - Right to data portability  ","")</f>
        <v/>
      </c>
      <c r="K41" s="14" t="str">
        <f>IF(F41="No", " 
SEC. 18, DPA  ", "")</f>
        <v/>
      </c>
      <c r="L41" s="12" t="str">
        <f>IF(AND(F41="No", 'P1 Threshold Analysis'!D5="Yes"), 4, IF(AND(F41="No", 'P1 Threshold Analysis'!D4="Yes"),3,""))</f>
        <v/>
      </c>
      <c r="M41" s="12" t="str">
        <f>IF(AND(F41="No", 'P1 Threshold Analysis'!D5="Yes"), 4, IF(AND(F41="No", 'P1 Threshold Analysis'!D4="Yes"),3,""))</f>
        <v/>
      </c>
      <c r="N41" s="14" t="str">
        <f>IF(OR(L41="", M41=""), "",
 IF(L41*M41&gt;=10, IF(L41*M41&lt;=16, "High Risk", ""),
 IF(L41*M41&gt;=6, IF(L41*M41&lt;=9, "Medium Risk", ""),
 IF(L41*M41&gt;=2, IF(L41*M41&lt;=4, "Low Risk", ""),
 IF(L41*M41=1, "Negligible", "")))))</f>
        <v/>
      </c>
      <c r="P41" s="96"/>
    </row>
    <row r="42" spans="2:52" ht="36.75" customHeight="1">
      <c r="B42" s="369" t="s">
        <v>208</v>
      </c>
      <c r="C42" s="367"/>
      <c r="D42" s="367"/>
      <c r="E42" s="367"/>
      <c r="F42" s="367"/>
      <c r="G42" s="367"/>
      <c r="H42" s="367"/>
      <c r="I42" s="367"/>
      <c r="J42" s="367"/>
      <c r="K42" s="367"/>
      <c r="L42" s="367"/>
      <c r="M42" s="367"/>
      <c r="N42" s="368"/>
    </row>
    <row r="43" spans="2:52" ht="157.5" customHeight="1">
      <c r="B43" s="103">
        <v>1</v>
      </c>
      <c r="C43" s="331" t="s">
        <v>209</v>
      </c>
      <c r="D43" s="331"/>
      <c r="E43" s="331"/>
      <c r="F43" s="224"/>
      <c r="G43" s="224"/>
      <c r="H43" s="78"/>
      <c r="I43" s="101" t="str">
        <f>IF(F43="No", "Failure to inform data subjects about their right to file complaints or seek indemnification may result in non-compliance with transparency obligations, leaving data subjects unaware of their rights and reducing accountability for data misuse.  ", "")</f>
        <v/>
      </c>
      <c r="J43" s="14" t="str">
        <f>IF(F43="No", "
Violation of data subject rights - Right to damages   ","")</f>
        <v/>
      </c>
      <c r="K43" s="14" t="str">
        <f>IF(F43="No", " 
SEC. 16(f), DPA   ", "")</f>
        <v/>
      </c>
      <c r="L43" s="12" t="str">
        <f>IF(AND(F43="No", 'P1 Threshold Analysis'!D5="Yes"), 4, IF(AND(F43="No", 'P1 Threshold Analysis'!D4="Yes"),3,""))</f>
        <v/>
      </c>
      <c r="M43" s="12" t="str">
        <f>IF(AND(F43="No", 'P1 Threshold Analysis'!D5="Yes"), 4, IF(AND(F43="No", 'P1 Threshold Analysis'!D4="Yes"),3,""))</f>
        <v/>
      </c>
      <c r="N43" s="14" t="str">
        <f>IF(OR(L43="", M43=""), "",
 IF(L43*M43&gt;=10, IF(L43*M43&lt;=16, "High Risk", ""),
 IF(L43*M43&gt;=6, IF(L43*M43&lt;=9, "Medium Risk", ""),
 IF(L43*M43&gt;=2, IF(L43*M43&lt;=4, "Low Risk", ""),
 IF(L43*M43=1, "Negligible", "")))))</f>
        <v/>
      </c>
      <c r="P43" s="96"/>
    </row>
  </sheetData>
  <sheetProtection algorithmName="SHA-512" hashValue="nGnCShTOaAVBrwk6nNPBxHwPuQL3UEpHvhf2zWLgKrlogqhPcRq9tpPEzGQw6tvDYy6Wg9aS+PnlngfSDtbXIg==" saltValue="myjDUJKpk05v8A6eyuuW6w==" spinCount="100000" sheet="1" objects="1" scenarios="1"/>
  <protectedRanges>
    <protectedRange sqref="F9:H9" name="Range1"/>
    <protectedRange sqref="F11:G21" name="Range2"/>
    <protectedRange sqref="F23:H33 F35:H35 F34:G34 F36:G37" name="Range3"/>
    <protectedRange sqref="F39:H39" name="Range4"/>
    <protectedRange sqref="F41:H41" name="Range5"/>
    <protectedRange sqref="F43:H43" name="Range6"/>
    <protectedRange sqref="H11:H21 H34 H36:H37" name="Range16_2"/>
    <protectedRange sqref="F9:N9" name="Range8"/>
  </protectedRanges>
  <mergeCells count="92">
    <mergeCell ref="P23:P32"/>
    <mergeCell ref="S23:S32"/>
    <mergeCell ref="P12:P16"/>
    <mergeCell ref="S12:S16"/>
    <mergeCell ref="F34:G34"/>
    <mergeCell ref="F16:G16"/>
    <mergeCell ref="F17:G17"/>
    <mergeCell ref="F18:G18"/>
    <mergeCell ref="M12:M16"/>
    <mergeCell ref="N12:N16"/>
    <mergeCell ref="L12:L16"/>
    <mergeCell ref="K23:K32"/>
    <mergeCell ref="L23:L32"/>
    <mergeCell ref="M23:M32"/>
    <mergeCell ref="N23:N32"/>
    <mergeCell ref="C23:E23"/>
    <mergeCell ref="F23:G23"/>
    <mergeCell ref="C30:E30"/>
    <mergeCell ref="C32:E32"/>
    <mergeCell ref="C31:E31"/>
    <mergeCell ref="B35:B37"/>
    <mergeCell ref="C36:E36"/>
    <mergeCell ref="C37:E37"/>
    <mergeCell ref="B33:E33"/>
    <mergeCell ref="C34:E34"/>
    <mergeCell ref="C35:N35"/>
    <mergeCell ref="B23:B32"/>
    <mergeCell ref="F24:G24"/>
    <mergeCell ref="F25:G25"/>
    <mergeCell ref="F26:G26"/>
    <mergeCell ref="F27:G27"/>
    <mergeCell ref="F28:G28"/>
    <mergeCell ref="F29:G29"/>
    <mergeCell ref="F30:G30"/>
    <mergeCell ref="F31:G31"/>
    <mergeCell ref="F32:G32"/>
    <mergeCell ref="C24:E24"/>
    <mergeCell ref="C25:E25"/>
    <mergeCell ref="C26:E26"/>
    <mergeCell ref="C27:E27"/>
    <mergeCell ref="C28:E28"/>
    <mergeCell ref="C29:E29"/>
    <mergeCell ref="C43:E43"/>
    <mergeCell ref="C39:E39"/>
    <mergeCell ref="C41:E41"/>
    <mergeCell ref="F39:G39"/>
    <mergeCell ref="F41:G41"/>
    <mergeCell ref="F43:G43"/>
    <mergeCell ref="B38:N38"/>
    <mergeCell ref="B40:N40"/>
    <mergeCell ref="B42:N42"/>
    <mergeCell ref="F13:G13"/>
    <mergeCell ref="F14:G14"/>
    <mergeCell ref="F15:G15"/>
    <mergeCell ref="F21:G21"/>
    <mergeCell ref="F19:G19"/>
    <mergeCell ref="F20:G20"/>
    <mergeCell ref="C19:E19"/>
    <mergeCell ref="C20:E20"/>
    <mergeCell ref="C21:E21"/>
    <mergeCell ref="B22:N22"/>
    <mergeCell ref="F33:N33"/>
    <mergeCell ref="B12:B16"/>
    <mergeCell ref="I12:I16"/>
    <mergeCell ref="C11:E11"/>
    <mergeCell ref="B2:H2"/>
    <mergeCell ref="C3:H3"/>
    <mergeCell ref="C4:H4"/>
    <mergeCell ref="C5:H5"/>
    <mergeCell ref="C6:H6"/>
    <mergeCell ref="B9:E9"/>
    <mergeCell ref="F10:G10"/>
    <mergeCell ref="C10:E10"/>
    <mergeCell ref="F11:G11"/>
    <mergeCell ref="B8:N8"/>
    <mergeCell ref="F9:N9"/>
    <mergeCell ref="C12:E12"/>
    <mergeCell ref="F12:G12"/>
    <mergeCell ref="J36:J37"/>
    <mergeCell ref="K36:K37"/>
    <mergeCell ref="J12:J16"/>
    <mergeCell ref="K12:K16"/>
    <mergeCell ref="C13:E13"/>
    <mergeCell ref="C15:E15"/>
    <mergeCell ref="C16:E16"/>
    <mergeCell ref="C17:E17"/>
    <mergeCell ref="C18:E18"/>
    <mergeCell ref="C14:E14"/>
    <mergeCell ref="F36:G36"/>
    <mergeCell ref="F37:G37"/>
    <mergeCell ref="I23:I32"/>
    <mergeCell ref="J23:J32"/>
  </mergeCells>
  <conditionalFormatting sqref="F11:H21">
    <cfRule type="expression" dxfId="102" priority="21">
      <formula>UPPER($F$9)="N/A"</formula>
    </cfRule>
  </conditionalFormatting>
  <conditionalFormatting sqref="F34:H34">
    <cfRule type="expression" dxfId="101" priority="23">
      <formula>UPPER($F$33)="N/A"</formula>
    </cfRule>
  </conditionalFormatting>
  <conditionalFormatting sqref="F36:H37">
    <cfRule type="expression" dxfId="100" priority="22">
      <formula>UPPER($F$33)="N/A"</formula>
    </cfRule>
  </conditionalFormatting>
  <conditionalFormatting sqref="H11:H21">
    <cfRule type="expression" dxfId="99" priority="19">
      <formula>UPPER($F$104)="N/A"</formula>
    </cfRule>
    <cfRule type="expression" dxfId="98" priority="20">
      <formula>UPPER($H$3)="N/A"</formula>
    </cfRule>
  </conditionalFormatting>
  <conditionalFormatting sqref="N1:N12 N17:N23 N33:N1048576">
    <cfRule type="containsText" dxfId="97" priority="24" operator="containsText" text="Medium">
      <formula>NOT(ISERROR(SEARCH("Medium",N1)))</formula>
    </cfRule>
    <cfRule type="containsText" dxfId="96" priority="25" operator="containsText" text="Low">
      <formula>NOT(ISERROR(SEARCH("Low",N1)))</formula>
    </cfRule>
    <cfRule type="containsText" dxfId="95" priority="26" operator="containsText" text="High">
      <formula>NOT(ISERROR(SEARCH("High",N1)))</formula>
    </cfRule>
  </conditionalFormatting>
  <conditionalFormatting sqref="O10:W10">
    <cfRule type="containsText" dxfId="94" priority="1" operator="containsText" text="High">
      <formula>NOT(ISERROR(SEARCH("High",O10)))</formula>
    </cfRule>
    <cfRule type="containsText" dxfId="93" priority="2" operator="containsText" text="Medium ">
      <formula>NOT(ISERROR(SEARCH("Medium ",O10)))</formula>
    </cfRule>
    <cfRule type="containsText" dxfId="92" priority="3" operator="containsText" text="Low">
      <formula>NOT(ISERROR(SEARCH("Low",O10)))</formula>
    </cfRule>
  </conditionalFormatting>
  <dataValidations xWindow="1352" yWindow="545" count="8">
    <dataValidation allowBlank="1" showInputMessage="1" showErrorMessage="1" sqref="H41 F13:G16 F24:G32 H43 L11 L17:L18" xr:uid="{F51A9F21-4FFA-4F55-A369-A5C96C6F8773}"/>
    <dataValidation type="list" allowBlank="1" showInputMessage="1" showErrorMessage="1" sqref="F11:G12 F17:G21" xr:uid="{A36C3996-33CB-4D8B-BECA-3766E471A88B}">
      <formula1>"Yes, No,N/A"</formula1>
    </dataValidation>
    <dataValidation type="list" allowBlank="1" showInputMessage="1" showErrorMessage="1" prompt="Enter &quot;N/A&quot; if not applicable; leave blank if applicable." sqref="F9 F33" xr:uid="{2C825889-0ADE-41C4-BFE5-EED50CE82762}">
      <formula1>"N/A"</formula1>
    </dataValidation>
    <dataValidation type="list" allowBlank="1" showInputMessage="1" showErrorMessage="1" prompt="Choose the applicable option from the dropdown" sqref="F43:G43 F39:G39 F41:G41" xr:uid="{25070A4D-44B5-4B0A-BC23-482F4DB75E88}">
      <formula1>"Yes,No,N/A"</formula1>
    </dataValidation>
    <dataValidation type="list" allowBlank="1" showInputMessage="1" showErrorMessage="1" sqref="F23:G23 F34:G34 F36:G37" xr:uid="{793910AA-D060-4498-9CB2-F1D2A724EC28}">
      <formula1>"Yes, No"</formula1>
    </dataValidation>
    <dataValidation type="list" allowBlank="1" showInputMessage="1" showErrorMessage="1" sqref="L43:M43 L41:M41 L23:M32 L34:M34 L36:M37 L39:M39 M11:M21 L19:L21 L12:L16" xr:uid="{310A9DEF-B1B0-449D-AFB0-C29BB6B19B6E}">
      <formula1>"1,2,3,4"</formula1>
    </dataValidation>
    <dataValidation type="custom" allowBlank="1" showInputMessage="1" showErrorMessage="1" errorTitle="Not Applicable" error="This field applies only if the processing is based on consent or legitimate interest. Otherwise, enter &quot;N/A&quot; or leave blank." prompt="Enter details only if applicable. Otherwise, enter &quot;N/A&quot; or leave blank." sqref="H11:H21" xr:uid="{6299E2AE-66FE-4611-AA99-CE95F1DDC29A}">
      <formula1>OR($F$9="Yes", H11="N/A", H11="")</formula1>
    </dataValidation>
    <dataValidation type="custom" allowBlank="1" showInputMessage="1" showErrorMessage="1" errorTitle="Not Applicable" error="This field applies only if the data subjects can exercise their right to rectify. Otherwise, enter &quot;N/A&quot; or leave blank." prompt="Enter details only if applicable. Otherwise, enter &quot;N/A&quot; or leave blank." sqref="H34 H36:H37" xr:uid="{0095873E-8EE4-41CE-A631-621B02FC8A19}">
      <formula1>OR($F$33="Yes", H34="N/A", H34="")</formula1>
    </dataValidation>
  </dataValidation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AB36-1B6B-493A-BE79-3893EB6A01A7}">
  <sheetPr>
    <tabColor theme="3" tint="0.249977111117893"/>
  </sheetPr>
  <dimension ref="B2:AZ153"/>
  <sheetViews>
    <sheetView showGridLines="0" zoomScale="75" workbookViewId="0">
      <selection activeCell="F5" sqref="F5:G5"/>
    </sheetView>
  </sheetViews>
  <sheetFormatPr defaultColWidth="9.125" defaultRowHeight="14.25"/>
  <cols>
    <col min="1" max="1" width="9.125" style="18"/>
    <col min="2" max="2" width="5.125" style="18" customWidth="1"/>
    <col min="3" max="5" width="19" style="18" customWidth="1"/>
    <col min="6" max="6" width="4.375" style="18" customWidth="1"/>
    <col min="7" max="7" width="11.25" style="18" customWidth="1"/>
    <col min="8" max="8" width="22.125" style="18" customWidth="1"/>
    <col min="9" max="9" width="36.75" style="18" customWidth="1"/>
    <col min="10" max="10" width="47.75" style="18" customWidth="1"/>
    <col min="11" max="11" width="23.25" style="18" customWidth="1"/>
    <col min="12" max="12" width="10.75" style="18" customWidth="1"/>
    <col min="13" max="13" width="18.625" style="18" customWidth="1"/>
    <col min="14" max="14" width="16.25" style="18" customWidth="1"/>
    <col min="15" max="15" width="14.625" style="18" bestFit="1" customWidth="1"/>
    <col min="16" max="16" width="22.875" style="18" customWidth="1"/>
    <col min="17" max="17" width="6.875" style="18" bestFit="1" customWidth="1"/>
    <col min="18" max="18" width="19.25" style="18" bestFit="1" customWidth="1"/>
    <col min="19" max="19" width="13.375" style="18" customWidth="1"/>
    <col min="20" max="51" width="9.125" style="18"/>
    <col min="52" max="52" width="82.375" style="18" customWidth="1"/>
    <col min="53" max="16384" width="9.125" style="18"/>
  </cols>
  <sheetData>
    <row r="2" spans="2:52" ht="27.75" customHeight="1">
      <c r="B2" s="340" t="s">
        <v>210</v>
      </c>
      <c r="C2" s="340"/>
      <c r="D2" s="340"/>
      <c r="E2" s="340"/>
      <c r="F2" s="340"/>
      <c r="G2" s="340"/>
      <c r="H2" s="340"/>
      <c r="I2" s="340"/>
      <c r="J2" s="340"/>
      <c r="K2" s="340"/>
      <c r="L2" s="340"/>
      <c r="M2" s="340"/>
      <c r="N2" s="340"/>
    </row>
    <row r="3" spans="2:52" ht="27.75" customHeight="1">
      <c r="B3" s="102" t="s">
        <v>32</v>
      </c>
      <c r="C3" s="348" t="s">
        <v>118</v>
      </c>
      <c r="D3" s="348"/>
      <c r="E3" s="348"/>
      <c r="F3" s="348" t="s">
        <v>176</v>
      </c>
      <c r="G3" s="348"/>
      <c r="H3" s="102" t="s">
        <v>35</v>
      </c>
      <c r="I3" s="98" t="s">
        <v>120</v>
      </c>
      <c r="J3" s="98" t="s">
        <v>121</v>
      </c>
      <c r="K3" s="98" t="s">
        <v>122</v>
      </c>
      <c r="L3" s="98" t="s">
        <v>123</v>
      </c>
      <c r="M3" s="98" t="s">
        <v>124</v>
      </c>
      <c r="N3" s="98" t="s">
        <v>125</v>
      </c>
      <c r="O3" s="99"/>
      <c r="P3" s="100"/>
      <c r="Q3" s="99"/>
      <c r="R3" s="99"/>
      <c r="S3" s="100"/>
      <c r="T3" s="100"/>
      <c r="U3" s="100"/>
      <c r="V3" s="100"/>
      <c r="W3" s="99"/>
    </row>
    <row r="4" spans="2:52" ht="131.25" customHeight="1">
      <c r="B4" s="103">
        <v>1</v>
      </c>
      <c r="C4" s="331" t="s">
        <v>211</v>
      </c>
      <c r="D4" s="331"/>
      <c r="E4" s="331"/>
      <c r="F4" s="336"/>
      <c r="G4" s="336"/>
      <c r="H4" s="74"/>
      <c r="I4" s="14" t="str">
        <f>IF(F4="No", "The absence of a registered DPO exposes the organization to a lack of oversight and accountability in managing data protection practices, increasing the risk of non-compliance with privacy regulations and potential legal penalties.", "")</f>
        <v/>
      </c>
      <c r="J4" s="14" t="str">
        <f>IF(F4="No", "Failure to implement reasonable and appropriate security measures - Organizational ","")</f>
        <v/>
      </c>
      <c r="K4" s="12" t="str">
        <f>IF(F4="No", "SEC. 20, DPA", "")</f>
        <v/>
      </c>
      <c r="L4" s="12" t="str">
        <f>IF(AND(F4="No", 'P1 Threshold Analysis'!D5="Yes"), 4, IF(AND(F4="No", 'P1 Threshold Analysis'!D4="Yes"),3,""))</f>
        <v/>
      </c>
      <c r="M4" s="12" t="str">
        <f>IF(AND(F4="No", 'P1 Threshold Analysis'!D5="Yes"), 4, IF(AND(F4="No", 'P1 Threshold Analysis'!D4="Yes"),3,""))</f>
        <v/>
      </c>
      <c r="N4" s="14" t="str">
        <f>IF(OR(L4="", M4=""), "",
 IF(L4*M4&gt;=10, IF(L4*M4&lt;=16, "High Risk", ""),
 IF(L4*M4&gt;=6, IF(L4*M4&lt;=9, "Medium Risk", ""),
 IF(L4*M4&gt;=2, IF(L4*M4&lt;=4, "Low Risk", ""),
 IF(L4*M4=1, "Negligible", "")))))</f>
        <v/>
      </c>
      <c r="P4" s="96"/>
      <c r="R4" s="96"/>
      <c r="S4" s="96"/>
      <c r="AZ4" s="122"/>
    </row>
    <row r="5" spans="2:52" ht="165.6" customHeight="1">
      <c r="B5" s="123">
        <v>2</v>
      </c>
      <c r="C5" s="407" t="s">
        <v>212</v>
      </c>
      <c r="D5" s="407"/>
      <c r="E5" s="407"/>
      <c r="F5" s="406"/>
      <c r="G5" s="406"/>
      <c r="H5" s="120"/>
      <c r="I5" s="110" t="str">
        <f>IF(F5="No", "Failure to register the project or system with the NPC makes the organization non-compliant, risking administrative fines. ", "")</f>
        <v/>
      </c>
      <c r="J5" s="59" t="str">
        <f>IF(F5="No", "Failure to implement reasonable and appropriate security measures – Organizational 
Failure to register the data processing system  ","")</f>
        <v/>
      </c>
      <c r="K5" s="59" t="str">
        <f>IF(F5="No", "SEC 20, DPA 
SEC. 24, DPA ", "")</f>
        <v/>
      </c>
      <c r="L5" s="85" t="str">
        <f>IF(AND(F5="No", 'P1 Threshold Analysis'!D5="Yes"), 4, IF(AND(F5="No", 'P1 Threshold Analysis'!D4="Yes"),3,""))</f>
        <v/>
      </c>
      <c r="M5" s="85" t="str">
        <f>IF(AND(F5="No", 'P1 Threshold Analysis'!D5="Yes"), 4, IF(AND(F5="No", 'P1 Threshold Analysis'!D4="Yes"),3,""))</f>
        <v/>
      </c>
      <c r="N5" s="59" t="str">
        <f>IF(OR(L5="", M5=""), "",
 IF(L5*M5&gt;=10, IF(L5*M5&lt;=16, "High Risk", ""),
 IF(L5*M5&gt;=6, IF(L5*M5&lt;=9, "Medium Risk", ""),
 IF(L5*M5&gt;=2, IF(L5*M5&lt;=4, "Low Risk", ""),
 IF(L5*M5=1, "Negligible", "")))))</f>
        <v/>
      </c>
      <c r="P5" s="96"/>
      <c r="R5" s="96"/>
      <c r="S5" s="96"/>
    </row>
    <row r="6" spans="2:52" ht="41.1" customHeight="1">
      <c r="B6" s="402">
        <v>3</v>
      </c>
      <c r="C6" s="349" t="s">
        <v>213</v>
      </c>
      <c r="D6" s="349"/>
      <c r="E6" s="349"/>
      <c r="F6" s="336"/>
      <c r="G6" s="336"/>
      <c r="H6" s="124"/>
      <c r="I6" s="274" t="str">
        <f>IF(F6="No", "The absence of an inventory for a project or system prevents the organization from effectively managing personal data processing activities, increasing the risk of unauthorized access, data breaches, and non-compliance with data protection laws.", "")</f>
        <v/>
      </c>
      <c r="J6" s="274" t="str">
        <f>IF(F6="No", "Failure to implement reasonable and appropriate security measures – Organizational
Personal Data Breach - Availability ","")</f>
        <v/>
      </c>
      <c r="K6" s="274" t="str">
        <f>IF(F6="No", "SEC 20, DPA ", "")</f>
        <v/>
      </c>
      <c r="L6" s="386" t="str">
        <f>IF(AND(F6="No", COUNTIF(F7:G11, "False")&gt;4), 4, IF(AND(F6="No",  'P1 Threshold Analysis'!D5="Yes", COUNTIF(F7:G11, "True")&gt;0), 4, IF(AND(F6="No", 'P1 Threshold Analysis'!D5="No",COUNTIF(F7:G11, "True")&gt;0), 3, "")))</f>
        <v/>
      </c>
      <c r="M6" s="386" t="str">
        <f>IF(AND(F6="No", COUNTIF(F7:G11, "False")&gt;4), 4, IF(AND(F6="No",  'P1 Threshold Analysis'!D5="Yes", COUNTIF(F7:G11, "True")&gt;0), 4, IF(AND(F6="No", 'P1 Threshold Analysis'!D5="No",COUNTIF(F7:G11, "True")&gt;0), 3, "")))</f>
        <v/>
      </c>
      <c r="N6" s="274" t="str">
        <f>IF(OR(L6="", M6=""), "",
 IF(L6*M6&gt;=10, IF(L6*M6&lt;=16, "High Risk", ""),
 IF(L6*M6&gt;=6, IF(L6*M6&lt;=9, "Medium Risk", ""),
 IF(L6*M6&gt;=2, IF(L6*M6&lt;=4, "Low Risk", ""),
 IF(L6*M6=1, "Negligible", "")))))</f>
        <v/>
      </c>
      <c r="P6" s="333"/>
      <c r="S6" s="333"/>
      <c r="AZ6" s="122" t="s">
        <v>214</v>
      </c>
    </row>
    <row r="7" spans="2:52" ht="33" customHeight="1">
      <c r="B7" s="402"/>
      <c r="C7" s="403" t="s">
        <v>215</v>
      </c>
      <c r="D7" s="403"/>
      <c r="E7" s="403"/>
      <c r="F7" s="410" t="b">
        <v>0</v>
      </c>
      <c r="G7" s="410"/>
      <c r="H7" s="121"/>
      <c r="I7" s="357"/>
      <c r="J7" s="357"/>
      <c r="K7" s="357"/>
      <c r="L7" s="388"/>
      <c r="M7" s="388"/>
      <c r="N7" s="357"/>
      <c r="P7" s="333"/>
      <c r="S7" s="333"/>
      <c r="AZ7" s="125"/>
    </row>
    <row r="8" spans="2:52" ht="33" customHeight="1">
      <c r="B8" s="402"/>
      <c r="C8" s="404" t="s">
        <v>216</v>
      </c>
      <c r="D8" s="404"/>
      <c r="E8" s="404"/>
      <c r="F8" s="410" t="b">
        <v>0</v>
      </c>
      <c r="G8" s="410"/>
      <c r="H8" s="78"/>
      <c r="I8" s="357"/>
      <c r="J8" s="357"/>
      <c r="K8" s="357"/>
      <c r="L8" s="388"/>
      <c r="M8" s="388"/>
      <c r="N8" s="357"/>
      <c r="P8" s="333"/>
      <c r="S8" s="333"/>
    </row>
    <row r="9" spans="2:52" ht="44.1" customHeight="1">
      <c r="B9" s="402"/>
      <c r="C9" s="404" t="s">
        <v>217</v>
      </c>
      <c r="D9" s="404"/>
      <c r="E9" s="404"/>
      <c r="F9" s="410" t="b">
        <v>0</v>
      </c>
      <c r="G9" s="410"/>
      <c r="H9" s="78"/>
      <c r="I9" s="357"/>
      <c r="J9" s="357"/>
      <c r="K9" s="357"/>
      <c r="L9" s="388"/>
      <c r="M9" s="388"/>
      <c r="N9" s="357"/>
      <c r="P9" s="333"/>
      <c r="S9" s="333"/>
    </row>
    <row r="10" spans="2:52" ht="16.5" customHeight="1">
      <c r="B10" s="402"/>
      <c r="C10" s="404" t="s">
        <v>218</v>
      </c>
      <c r="D10" s="404"/>
      <c r="E10" s="404"/>
      <c r="F10" s="410" t="b">
        <v>0</v>
      </c>
      <c r="G10" s="410"/>
      <c r="H10" s="78"/>
      <c r="I10" s="357"/>
      <c r="J10" s="357"/>
      <c r="K10" s="357"/>
      <c r="L10" s="388"/>
      <c r="M10" s="388"/>
      <c r="N10" s="357"/>
      <c r="P10" s="333"/>
      <c r="S10" s="333"/>
    </row>
    <row r="11" spans="2:52" ht="104.25" customHeight="1">
      <c r="B11" s="402"/>
      <c r="C11" s="405" t="s">
        <v>219</v>
      </c>
      <c r="D11" s="405"/>
      <c r="E11" s="405"/>
      <c r="F11" s="411" t="b">
        <v>0</v>
      </c>
      <c r="G11" s="411"/>
      <c r="H11" s="81"/>
      <c r="I11" s="357"/>
      <c r="J11" s="357"/>
      <c r="K11" s="357"/>
      <c r="L11" s="388"/>
      <c r="M11" s="388"/>
      <c r="N11" s="357"/>
      <c r="P11" s="333"/>
      <c r="S11" s="333"/>
    </row>
    <row r="12" spans="2:52" ht="64.5" customHeight="1">
      <c r="B12" s="395">
        <v>4</v>
      </c>
      <c r="C12" s="334" t="s">
        <v>220</v>
      </c>
      <c r="D12" s="334"/>
      <c r="E12" s="334"/>
      <c r="F12" s="336"/>
      <c r="G12" s="336"/>
      <c r="H12" s="105"/>
      <c r="I12" s="230" t="str">
        <f>IF(F12="No", "Not conducting an annual PIA or updating it as needed increases the likelihood of overlooking new risks, vulnerabilities, or changes in processing activities, potentially leading to non-compliance and inadequate protection of personal data.  ", "")</f>
        <v/>
      </c>
      <c r="J12" s="230" t="str">
        <f>IF(F12="No", "Failure to implement reasonable and appropriate security measures – Organizational  ","")</f>
        <v/>
      </c>
      <c r="K12" s="224" t="str">
        <f>IF(F12="No", "SEC. 20, DPA ", "")</f>
        <v/>
      </c>
      <c r="L12" s="224" t="str">
        <f>IF(AND(F12="No", COUNTIF(C14:H29, "False")&gt;13), 4, IF(AND(F12="No",  'P1 Threshold Analysis'!D5="Yes", COUNTIF(C14:H29, "True")&gt;0), 4, IF(AND(F12="No", 'P1 Threshold Analysis'!D5="No",COUNTIF(C14:H29, "True")&gt;0), 3, "")))</f>
        <v/>
      </c>
      <c r="M12" s="224" t="str">
        <f>IF(AND(F12="No", COUNTIF(C14:H29, "False")&gt;13), 4, IF(AND(F12="No",  'P1 Threshold Analysis'!D5="Yes", COUNTIF(C14:H29, "True")&gt;0), 4, IF(AND(F12="No", 'P1 Threshold Analysis'!D5="No",COUNTIF(C14:H29, "True")&gt;0), 3, "")))</f>
        <v/>
      </c>
      <c r="N12" s="230" t="str">
        <f>IF(OR(L12="", M12=""), "",
 IF(L12*M12&gt;=10, IF(L12*M12&lt;=16, "High Risk", ""),
 IF(L12*M12&gt;=6, IF(L12*M12&lt;=9, "Medium Risk", ""),
 IF(L12*M12&gt;=2, IF(L12*M12&lt;=4, "Low Risk", ""),
 IF(L12*M12=1, "Negligible", "")))))</f>
        <v/>
      </c>
      <c r="P12" s="333"/>
      <c r="R12" s="389"/>
      <c r="S12" s="333"/>
    </row>
    <row r="13" spans="2:52" ht="18.600000000000001" customHeight="1">
      <c r="B13" s="395"/>
      <c r="C13" s="413" t="s">
        <v>221</v>
      </c>
      <c r="D13" s="413"/>
      <c r="E13" s="413"/>
      <c r="F13" s="413"/>
      <c r="G13" s="413"/>
      <c r="H13" s="413"/>
      <c r="I13" s="230"/>
      <c r="J13" s="230"/>
      <c r="K13" s="224"/>
      <c r="L13" s="224"/>
      <c r="M13" s="224"/>
      <c r="N13" s="230"/>
      <c r="P13" s="333"/>
      <c r="R13" s="389"/>
      <c r="S13" s="333"/>
    </row>
    <row r="14" spans="2:52" ht="33.75" customHeight="1">
      <c r="B14" s="395"/>
      <c r="C14" s="332" t="s">
        <v>222</v>
      </c>
      <c r="D14" s="332"/>
      <c r="E14" s="332"/>
      <c r="F14" s="370" t="b">
        <v>0</v>
      </c>
      <c r="G14" s="370"/>
      <c r="H14" s="74"/>
      <c r="I14" s="230"/>
      <c r="J14" s="230"/>
      <c r="K14" s="224"/>
      <c r="L14" s="224"/>
      <c r="M14" s="224"/>
      <c r="N14" s="230"/>
      <c r="P14" s="333"/>
      <c r="R14" s="389"/>
      <c r="S14" s="333"/>
    </row>
    <row r="15" spans="2:52" ht="17.45" customHeight="1">
      <c r="B15" s="395"/>
      <c r="C15" s="332" t="s">
        <v>223</v>
      </c>
      <c r="D15" s="332"/>
      <c r="E15" s="332"/>
      <c r="F15" s="370" t="b">
        <v>0</v>
      </c>
      <c r="G15" s="370"/>
      <c r="H15" s="74"/>
      <c r="I15" s="230"/>
      <c r="J15" s="230"/>
      <c r="K15" s="224"/>
      <c r="L15" s="224"/>
      <c r="M15" s="224"/>
      <c r="N15" s="230"/>
      <c r="P15" s="333"/>
      <c r="R15" s="389"/>
      <c r="S15" s="333"/>
    </row>
    <row r="16" spans="2:52" ht="17.45" customHeight="1">
      <c r="B16" s="395"/>
      <c r="C16" s="332" t="s">
        <v>224</v>
      </c>
      <c r="D16" s="332"/>
      <c r="E16" s="332"/>
      <c r="F16" s="370" t="b">
        <v>0</v>
      </c>
      <c r="G16" s="370"/>
      <c r="H16" s="74"/>
      <c r="I16" s="230"/>
      <c r="J16" s="230"/>
      <c r="K16" s="224"/>
      <c r="L16" s="224"/>
      <c r="M16" s="224"/>
      <c r="N16" s="230"/>
      <c r="P16" s="333"/>
      <c r="R16" s="389"/>
      <c r="S16" s="333"/>
    </row>
    <row r="17" spans="2:19" ht="17.45" customHeight="1">
      <c r="B17" s="395"/>
      <c r="C17" s="332" t="s">
        <v>225</v>
      </c>
      <c r="D17" s="332"/>
      <c r="E17" s="332"/>
      <c r="F17" s="370" t="b">
        <v>0</v>
      </c>
      <c r="G17" s="370"/>
      <c r="H17" s="74"/>
      <c r="I17" s="230"/>
      <c r="J17" s="230"/>
      <c r="K17" s="224"/>
      <c r="L17" s="224"/>
      <c r="M17" s="224"/>
      <c r="N17" s="230"/>
      <c r="P17" s="333"/>
      <c r="R17" s="389"/>
      <c r="S17" s="333"/>
    </row>
    <row r="18" spans="2:19" ht="47.1" customHeight="1">
      <c r="B18" s="395"/>
      <c r="C18" s="332" t="s">
        <v>226</v>
      </c>
      <c r="D18" s="332"/>
      <c r="E18" s="332"/>
      <c r="F18" s="370" t="b">
        <v>0</v>
      </c>
      <c r="G18" s="370"/>
      <c r="H18" s="74"/>
      <c r="I18" s="230"/>
      <c r="J18" s="230"/>
      <c r="K18" s="224"/>
      <c r="L18" s="224"/>
      <c r="M18" s="224"/>
      <c r="N18" s="230"/>
      <c r="P18" s="333"/>
      <c r="R18" s="389"/>
      <c r="S18" s="333"/>
    </row>
    <row r="19" spans="2:19" ht="17.45" customHeight="1">
      <c r="B19" s="395"/>
      <c r="C19" s="413" t="s">
        <v>227</v>
      </c>
      <c r="D19" s="413"/>
      <c r="E19" s="413"/>
      <c r="F19" s="370" t="b">
        <v>0</v>
      </c>
      <c r="G19" s="370"/>
      <c r="H19" s="126"/>
      <c r="I19" s="230"/>
      <c r="J19" s="230"/>
      <c r="K19" s="224"/>
      <c r="L19" s="224"/>
      <c r="M19" s="224"/>
      <c r="N19" s="230"/>
      <c r="P19" s="333"/>
      <c r="R19" s="389"/>
      <c r="S19" s="333"/>
    </row>
    <row r="20" spans="2:19" ht="17.45" customHeight="1">
      <c r="B20" s="395"/>
      <c r="C20" s="413" t="s">
        <v>228</v>
      </c>
      <c r="D20" s="413"/>
      <c r="E20" s="413"/>
      <c r="F20" s="413"/>
      <c r="G20" s="413"/>
      <c r="H20" s="413"/>
      <c r="I20" s="230"/>
      <c r="J20" s="230"/>
      <c r="K20" s="224"/>
      <c r="L20" s="224"/>
      <c r="M20" s="224"/>
      <c r="N20" s="230"/>
      <c r="P20" s="333"/>
      <c r="R20" s="389"/>
      <c r="S20" s="333"/>
    </row>
    <row r="21" spans="2:19" ht="17.45" customHeight="1">
      <c r="B21" s="395"/>
      <c r="C21" s="332" t="s">
        <v>229</v>
      </c>
      <c r="D21" s="332"/>
      <c r="E21" s="332"/>
      <c r="F21" s="370" t="b">
        <v>0</v>
      </c>
      <c r="G21" s="370"/>
      <c r="H21" s="74"/>
      <c r="I21" s="230"/>
      <c r="J21" s="230"/>
      <c r="K21" s="224"/>
      <c r="L21" s="224"/>
      <c r="M21" s="224"/>
      <c r="N21" s="230"/>
      <c r="P21" s="333"/>
      <c r="R21" s="389"/>
      <c r="S21" s="333"/>
    </row>
    <row r="22" spans="2:19" ht="17.45" customHeight="1">
      <c r="B22" s="395"/>
      <c r="C22" s="332" t="s">
        <v>230</v>
      </c>
      <c r="D22" s="332"/>
      <c r="E22" s="332"/>
      <c r="F22" s="370" t="b">
        <v>0</v>
      </c>
      <c r="G22" s="370"/>
      <c r="H22" s="74"/>
      <c r="I22" s="230"/>
      <c r="J22" s="230"/>
      <c r="K22" s="224"/>
      <c r="L22" s="224"/>
      <c r="M22" s="224"/>
      <c r="N22" s="230"/>
      <c r="P22" s="333"/>
      <c r="R22" s="389"/>
      <c r="S22" s="333"/>
    </row>
    <row r="23" spans="2:19" ht="17.45" customHeight="1">
      <c r="B23" s="395"/>
      <c r="C23" s="332" t="s">
        <v>231</v>
      </c>
      <c r="D23" s="332"/>
      <c r="E23" s="332"/>
      <c r="F23" s="370" t="b">
        <v>0</v>
      </c>
      <c r="G23" s="370"/>
      <c r="H23" s="74"/>
      <c r="I23" s="230"/>
      <c r="J23" s="230"/>
      <c r="K23" s="224"/>
      <c r="L23" s="224"/>
      <c r="M23" s="224"/>
      <c r="N23" s="230"/>
      <c r="P23" s="333"/>
      <c r="R23" s="389"/>
      <c r="S23" s="333"/>
    </row>
    <row r="24" spans="2:19" ht="17.45" customHeight="1">
      <c r="B24" s="395"/>
      <c r="C24" s="413" t="s">
        <v>232</v>
      </c>
      <c r="D24" s="413"/>
      <c r="E24" s="413"/>
      <c r="F24" s="413"/>
      <c r="G24" s="413"/>
      <c r="H24" s="413"/>
      <c r="I24" s="230"/>
      <c r="J24" s="230"/>
      <c r="K24" s="224"/>
      <c r="L24" s="224"/>
      <c r="M24" s="224"/>
      <c r="N24" s="230"/>
      <c r="P24" s="333"/>
      <c r="R24" s="389"/>
      <c r="S24" s="333"/>
    </row>
    <row r="25" spans="2:19" ht="17.45" customHeight="1">
      <c r="B25" s="395"/>
      <c r="C25" s="332" t="s">
        <v>233</v>
      </c>
      <c r="D25" s="332"/>
      <c r="E25" s="332"/>
      <c r="F25" s="370" t="b">
        <v>0</v>
      </c>
      <c r="G25" s="370"/>
      <c r="H25" s="74"/>
      <c r="I25" s="230"/>
      <c r="J25" s="230"/>
      <c r="K25" s="224"/>
      <c r="L25" s="224"/>
      <c r="M25" s="224"/>
      <c r="N25" s="230"/>
      <c r="P25" s="333"/>
      <c r="R25" s="389"/>
      <c r="S25" s="333"/>
    </row>
    <row r="26" spans="2:19" ht="17.45" customHeight="1">
      <c r="B26" s="395"/>
      <c r="C26" s="332" t="s">
        <v>234</v>
      </c>
      <c r="D26" s="332"/>
      <c r="E26" s="332"/>
      <c r="F26" s="370" t="b">
        <v>0</v>
      </c>
      <c r="G26" s="370"/>
      <c r="H26" s="74"/>
      <c r="I26" s="230"/>
      <c r="J26" s="230"/>
      <c r="K26" s="224"/>
      <c r="L26" s="224"/>
      <c r="M26" s="224"/>
      <c r="N26" s="230"/>
      <c r="P26" s="333"/>
      <c r="R26" s="389"/>
      <c r="S26" s="333"/>
    </row>
    <row r="27" spans="2:19" ht="17.45" customHeight="1">
      <c r="B27" s="395"/>
      <c r="C27" s="332" t="s">
        <v>235</v>
      </c>
      <c r="D27" s="332"/>
      <c r="E27" s="332"/>
      <c r="F27" s="370" t="b">
        <v>0</v>
      </c>
      <c r="G27" s="370"/>
      <c r="H27" s="74"/>
      <c r="I27" s="230"/>
      <c r="J27" s="230"/>
      <c r="K27" s="224"/>
      <c r="L27" s="224"/>
      <c r="M27" s="224"/>
      <c r="N27" s="230"/>
      <c r="P27" s="333"/>
      <c r="R27" s="389"/>
      <c r="S27" s="333"/>
    </row>
    <row r="28" spans="2:19" ht="17.45" customHeight="1">
      <c r="B28" s="395"/>
      <c r="C28" s="332" t="s">
        <v>236</v>
      </c>
      <c r="D28" s="332"/>
      <c r="E28" s="332"/>
      <c r="F28" s="370" t="b">
        <v>0</v>
      </c>
      <c r="G28" s="370"/>
      <c r="H28" s="74"/>
      <c r="I28" s="230"/>
      <c r="J28" s="230"/>
      <c r="K28" s="224"/>
      <c r="L28" s="224"/>
      <c r="M28" s="224"/>
      <c r="N28" s="230"/>
      <c r="P28" s="333"/>
      <c r="R28" s="389"/>
      <c r="S28" s="333"/>
    </row>
    <row r="29" spans="2:19" ht="26.25" customHeight="1">
      <c r="B29" s="395"/>
      <c r="C29" s="332" t="s">
        <v>237</v>
      </c>
      <c r="D29" s="332"/>
      <c r="E29" s="332"/>
      <c r="F29" s="370" t="b">
        <v>0</v>
      </c>
      <c r="G29" s="370"/>
      <c r="H29" s="74"/>
      <c r="I29" s="230"/>
      <c r="J29" s="230"/>
      <c r="K29" s="224"/>
      <c r="L29" s="224"/>
      <c r="M29" s="224"/>
      <c r="N29" s="230"/>
      <c r="P29" s="333"/>
      <c r="R29" s="389"/>
      <c r="S29" s="333"/>
    </row>
    <row r="30" spans="2:19" ht="112.5" customHeight="1">
      <c r="B30" s="103">
        <v>5</v>
      </c>
      <c r="C30" s="353" t="s">
        <v>238</v>
      </c>
      <c r="D30" s="353"/>
      <c r="E30" s="353"/>
      <c r="F30" s="412"/>
      <c r="G30" s="412"/>
      <c r="H30" s="121"/>
      <c r="I30" s="59" t="str">
        <f>IF(F30="No", "Without strict confidentiality agreements (NDAs) in place, personnel may inadvertently disclose personal data, exposing the organization to data breaches and violating privacy obligations. ", "")</f>
        <v/>
      </c>
      <c r="J30" s="59" t="str">
        <f>IF(F30="No", "Failure to implement reasonable and appropriate security measures – Organizational 
Personal Data Breach - Confidentiality  ","")</f>
        <v/>
      </c>
      <c r="K30" s="59" t="str">
        <f>IF(F30="No", "SEC. 20, DPA ", "")</f>
        <v/>
      </c>
      <c r="L30" s="85" t="str">
        <f>IF(AND(F30="No", 'P1 Threshold Analysis'!D5="Yes"), 4, IF(AND(F30="No", 'P1 Threshold Analysis'!D4="Yes"),3,""))</f>
        <v/>
      </c>
      <c r="M30" s="85" t="str">
        <f>IF(AND(F30="No", 'P1 Threshold Analysis'!D5="Yes"), 4, IF(AND(F30="No", 'P1 Threshold Analysis'!D4="Yes"),3,""))</f>
        <v/>
      </c>
      <c r="N30" s="59" t="str">
        <f>IF(OR(L30="", M30=""), "",
 IF(L30*M30&gt;=10, IF(L30*M30&lt;=16, "High Risk", ""),
 IF(L30*M30&gt;=6, IF(L30*M30&lt;=9, "Medium Risk", ""),
 IF(L30*M30&gt;=2, IF(L30*M30&lt;=4, "Low Risk", ""),
 IF(L30*M30=1, "Negligible", "")))))</f>
        <v/>
      </c>
      <c r="P30" s="96"/>
      <c r="S30" s="96"/>
    </row>
    <row r="31" spans="2:19" ht="96" customHeight="1">
      <c r="B31" s="103">
        <v>6</v>
      </c>
      <c r="C31" s="390" t="s">
        <v>239</v>
      </c>
      <c r="D31" s="390"/>
      <c r="E31" s="390"/>
      <c r="F31" s="408"/>
      <c r="G31" s="408"/>
      <c r="H31" s="81"/>
      <c r="I31" s="62" t="str">
        <f>IF(F31="No", "The lack of periodic training on privacy and data protection policies increases the risk of employees inadvertently violating data protection regulations or mishandling personal data, potentially leading to data breaches or non-compliance.", "")</f>
        <v/>
      </c>
      <c r="J31" s="62" t="str">
        <f>IF(F31="No", "Failure to implement reasonable and appropriate security measures – Organizational  ","")</f>
        <v/>
      </c>
      <c r="K31" s="62" t="str">
        <f>IF(F31="No", "SEC. 20, DPA ", "")</f>
        <v/>
      </c>
      <c r="L31" s="68" t="str">
        <f>IF(AND(F31="No", 'P1 Threshold Analysis'!D5="Yes"), 4, IF(AND(F31="No", 'P1 Threshold Analysis'!D4="Yes"),3,""))</f>
        <v/>
      </c>
      <c r="M31" s="68" t="str">
        <f>IF(AND(F31="No", 'P1 Threshold Analysis'!D5="Yes"), 4, IF(AND(F31="No", 'P1 Threshold Analysis'!D4="Yes"),3,""))</f>
        <v/>
      </c>
      <c r="N31" s="62" t="str">
        <f>IF(OR(L31="", M31=""), "",
 IF(L31*M31&gt;=10, IF(L31*M31&lt;=16, "High Risk", ""),
 IF(L31*M31&gt;=6, IF(L31*M31&lt;=9, "Medium Risk", ""),
 IF(L31*M31&gt;=2, IF(L31*M31&lt;=4, "Low Risk", ""),
 IF(L31*M31=1, "Negligible", "")))))</f>
        <v/>
      </c>
      <c r="P31" s="96"/>
      <c r="S31" s="96"/>
    </row>
    <row r="32" spans="2:19" ht="39.75" customHeight="1">
      <c r="B32" s="395">
        <v>7</v>
      </c>
      <c r="C32" s="334" t="s">
        <v>240</v>
      </c>
      <c r="D32" s="334"/>
      <c r="E32" s="334"/>
      <c r="F32" s="336"/>
      <c r="G32" s="336"/>
      <c r="H32" s="105"/>
      <c r="I32" s="274" t="str">
        <f>IF(F32="No", "The absence of a PMP leaves the organization without a structured approach to ensure ongoing compliance, risk mitigation, and effective handling of personal data, increasing the likelihood of non-compliance and privacy violations.", "")</f>
        <v/>
      </c>
      <c r="J32" s="274" t="str">
        <f>IF(F32="No", "Failure to implement reasonable and appropriate security measures – Organizational  ","")</f>
        <v/>
      </c>
      <c r="K32" s="273" t="str">
        <f>IF(F32="No", "SEC. 20, DPA ", "")</f>
        <v/>
      </c>
      <c r="L32" s="224" t="str">
        <f>IF(AND(F32="No", COUNTIF(C34:H50, "False")&gt;14), 4, IF(AND(F32="No",  'P1 Threshold Analysis'!D5="Yes", COUNTIF(C34:H50, "True")&gt;0), 4, IF(AND(F32="No", 'P1 Threshold Analysis'!D5="No",COUNTIF(C34:H50, "True")&gt;0), 3, "")))</f>
        <v/>
      </c>
      <c r="M32" s="224" t="str">
        <f>IF(AND(F32="No", COUNTIF(C34:H50, "False")&gt;14), 4, IF(AND(F32="No",  'P1 Threshold Analysis'!D5="Yes", COUNTIF(C34:H50, "True")&gt;0), 4, IF(AND(F32="No", 'P1 Threshold Analysis'!D5="No",COUNTIF(C34:H50, "True")&gt;0), 3, "")))</f>
        <v/>
      </c>
      <c r="N32" s="230" t="str">
        <f>IF(OR(L32="", M32=""), "",
 IF(L32*M32&gt;=10, IF(L32*M32&lt;=16, "High Risk", ""),
 IF(L32*M32&gt;=6, IF(L32*M32&lt;=9, "Medium Risk", ""),
 IF(L32*M32&gt;=2, IF(L32*M32&lt;=4, "Low Risk", ""),
 IF(L32*M32=1, "Negligible", "")))))</f>
        <v/>
      </c>
      <c r="P32" s="333"/>
      <c r="S32" s="333"/>
    </row>
    <row r="33" spans="2:19" ht="20.100000000000001" customHeight="1">
      <c r="B33" s="395"/>
      <c r="C33" s="413" t="s">
        <v>241</v>
      </c>
      <c r="D33" s="413"/>
      <c r="E33" s="413"/>
      <c r="F33" s="413"/>
      <c r="G33" s="413"/>
      <c r="H33" s="413"/>
      <c r="I33" s="357"/>
      <c r="J33" s="357"/>
      <c r="K33" s="436"/>
      <c r="L33" s="224"/>
      <c r="M33" s="224"/>
      <c r="N33" s="230"/>
      <c r="P33" s="333"/>
      <c r="S33" s="333"/>
    </row>
    <row r="34" spans="2:19" ht="20.100000000000001" customHeight="1">
      <c r="B34" s="395"/>
      <c r="C34" s="332" t="s">
        <v>242</v>
      </c>
      <c r="D34" s="332"/>
      <c r="E34" s="332"/>
      <c r="F34" s="370" t="b">
        <v>0</v>
      </c>
      <c r="G34" s="370"/>
      <c r="H34" s="74"/>
      <c r="I34" s="357"/>
      <c r="J34" s="357"/>
      <c r="K34" s="436"/>
      <c r="L34" s="224"/>
      <c r="M34" s="224"/>
      <c r="N34" s="230"/>
      <c r="P34" s="333"/>
      <c r="S34" s="333"/>
    </row>
    <row r="35" spans="2:19" ht="20.100000000000001" customHeight="1">
      <c r="B35" s="395"/>
      <c r="C35" s="332" t="s">
        <v>243</v>
      </c>
      <c r="D35" s="332"/>
      <c r="E35" s="332"/>
      <c r="F35" s="370" t="b">
        <v>0</v>
      </c>
      <c r="G35" s="370"/>
      <c r="H35" s="74"/>
      <c r="I35" s="357"/>
      <c r="J35" s="357"/>
      <c r="K35" s="436"/>
      <c r="L35" s="224"/>
      <c r="M35" s="224"/>
      <c r="N35" s="230"/>
      <c r="P35" s="333"/>
      <c r="S35" s="333"/>
    </row>
    <row r="36" spans="2:19" ht="20.100000000000001" customHeight="1">
      <c r="B36" s="395"/>
      <c r="C36" s="332" t="s">
        <v>244</v>
      </c>
      <c r="D36" s="332"/>
      <c r="E36" s="332"/>
      <c r="F36" s="370" t="b">
        <v>0</v>
      </c>
      <c r="G36" s="370"/>
      <c r="H36" s="74"/>
      <c r="I36" s="357"/>
      <c r="J36" s="357"/>
      <c r="K36" s="436"/>
      <c r="L36" s="224"/>
      <c r="M36" s="224"/>
      <c r="N36" s="230"/>
      <c r="P36" s="333"/>
      <c r="S36" s="333"/>
    </row>
    <row r="37" spans="2:19" ht="20.100000000000001" customHeight="1">
      <c r="B37" s="395"/>
      <c r="C37" s="413" t="s">
        <v>245</v>
      </c>
      <c r="D37" s="413"/>
      <c r="E37" s="413"/>
      <c r="F37" s="413"/>
      <c r="G37" s="413"/>
      <c r="H37" s="413"/>
      <c r="I37" s="357"/>
      <c r="J37" s="357"/>
      <c r="K37" s="436"/>
      <c r="L37" s="224"/>
      <c r="M37" s="224"/>
      <c r="N37" s="230"/>
      <c r="P37" s="333"/>
      <c r="S37" s="333"/>
    </row>
    <row r="38" spans="2:19" ht="20.100000000000001" customHeight="1">
      <c r="B38" s="395"/>
      <c r="C38" s="332" t="s">
        <v>246</v>
      </c>
      <c r="D38" s="332"/>
      <c r="E38" s="332"/>
      <c r="F38" s="370" t="b">
        <v>0</v>
      </c>
      <c r="G38" s="370"/>
      <c r="H38" s="74"/>
      <c r="I38" s="357"/>
      <c r="J38" s="357"/>
      <c r="K38" s="436"/>
      <c r="L38" s="224"/>
      <c r="M38" s="224"/>
      <c r="N38" s="230"/>
      <c r="P38" s="333"/>
      <c r="S38" s="333"/>
    </row>
    <row r="39" spans="2:19" ht="20.100000000000001" customHeight="1">
      <c r="B39" s="395"/>
      <c r="C39" s="332" t="s">
        <v>247</v>
      </c>
      <c r="D39" s="332"/>
      <c r="E39" s="332"/>
      <c r="F39" s="370" t="b">
        <v>0</v>
      </c>
      <c r="G39" s="370"/>
      <c r="H39" s="74"/>
      <c r="I39" s="357"/>
      <c r="J39" s="357"/>
      <c r="K39" s="436"/>
      <c r="L39" s="224"/>
      <c r="M39" s="224"/>
      <c r="N39" s="230"/>
      <c r="P39" s="333"/>
      <c r="S39" s="333"/>
    </row>
    <row r="40" spans="2:19" ht="20.100000000000001" customHeight="1">
      <c r="B40" s="395"/>
      <c r="C40" s="332" t="s">
        <v>248</v>
      </c>
      <c r="D40" s="332"/>
      <c r="E40" s="332"/>
      <c r="F40" s="370" t="b">
        <v>0</v>
      </c>
      <c r="G40" s="370"/>
      <c r="H40" s="74"/>
      <c r="I40" s="357"/>
      <c r="J40" s="357"/>
      <c r="K40" s="436"/>
      <c r="L40" s="224"/>
      <c r="M40" s="224"/>
      <c r="N40" s="230"/>
      <c r="P40" s="333"/>
      <c r="S40" s="333"/>
    </row>
    <row r="41" spans="2:19" ht="20.100000000000001" customHeight="1">
      <c r="B41" s="395"/>
      <c r="C41" s="332" t="s">
        <v>249</v>
      </c>
      <c r="D41" s="332"/>
      <c r="E41" s="332"/>
      <c r="F41" s="370" t="b">
        <v>0</v>
      </c>
      <c r="G41" s="370"/>
      <c r="H41" s="74"/>
      <c r="I41" s="357"/>
      <c r="J41" s="357"/>
      <c r="K41" s="436"/>
      <c r="L41" s="224"/>
      <c r="M41" s="224"/>
      <c r="N41" s="230"/>
      <c r="P41" s="333"/>
      <c r="S41" s="333"/>
    </row>
    <row r="42" spans="2:19" ht="20.100000000000001" customHeight="1">
      <c r="B42" s="395"/>
      <c r="C42" s="332" t="s">
        <v>250</v>
      </c>
      <c r="D42" s="332"/>
      <c r="E42" s="332"/>
      <c r="F42" s="370" t="b">
        <v>0</v>
      </c>
      <c r="G42" s="370"/>
      <c r="H42" s="74"/>
      <c r="I42" s="357"/>
      <c r="J42" s="357"/>
      <c r="K42" s="436"/>
      <c r="L42" s="224"/>
      <c r="M42" s="224"/>
      <c r="N42" s="230"/>
      <c r="P42" s="333"/>
      <c r="S42" s="333"/>
    </row>
    <row r="43" spans="2:19" ht="20.100000000000001" customHeight="1">
      <c r="B43" s="395"/>
      <c r="C43" s="332" t="s">
        <v>251</v>
      </c>
      <c r="D43" s="332"/>
      <c r="E43" s="332"/>
      <c r="F43" s="370" t="b">
        <v>0</v>
      </c>
      <c r="G43" s="370"/>
      <c r="H43" s="74"/>
      <c r="I43" s="357"/>
      <c r="J43" s="357"/>
      <c r="K43" s="436"/>
      <c r="L43" s="224"/>
      <c r="M43" s="224"/>
      <c r="N43" s="230"/>
      <c r="P43" s="333"/>
      <c r="S43" s="333"/>
    </row>
    <row r="44" spans="2:19" ht="20.100000000000001" customHeight="1">
      <c r="B44" s="395"/>
      <c r="C44" s="332" t="s">
        <v>252</v>
      </c>
      <c r="D44" s="332"/>
      <c r="E44" s="332"/>
      <c r="F44" s="370" t="b">
        <v>0</v>
      </c>
      <c r="G44" s="370"/>
      <c r="H44" s="74"/>
      <c r="I44" s="357"/>
      <c r="J44" s="357"/>
      <c r="K44" s="436"/>
      <c r="L44" s="224"/>
      <c r="M44" s="224"/>
      <c r="N44" s="230"/>
      <c r="P44" s="333"/>
      <c r="S44" s="333"/>
    </row>
    <row r="45" spans="2:19" ht="20.100000000000001" customHeight="1">
      <c r="B45" s="395"/>
      <c r="C45" s="332" t="s">
        <v>253</v>
      </c>
      <c r="D45" s="332"/>
      <c r="E45" s="332"/>
      <c r="F45" s="370" t="b">
        <v>0</v>
      </c>
      <c r="G45" s="370"/>
      <c r="H45" s="74"/>
      <c r="I45" s="357"/>
      <c r="J45" s="357"/>
      <c r="K45" s="436"/>
      <c r="L45" s="224"/>
      <c r="M45" s="224"/>
      <c r="N45" s="230"/>
      <c r="P45" s="333"/>
      <c r="S45" s="333"/>
    </row>
    <row r="46" spans="2:19" ht="20.100000000000001" customHeight="1">
      <c r="B46" s="395"/>
      <c r="C46" s="332" t="s">
        <v>254</v>
      </c>
      <c r="D46" s="332"/>
      <c r="E46" s="332"/>
      <c r="F46" s="370" t="b">
        <v>0</v>
      </c>
      <c r="G46" s="370"/>
      <c r="H46" s="74"/>
      <c r="I46" s="357"/>
      <c r="J46" s="357"/>
      <c r="K46" s="436"/>
      <c r="L46" s="224"/>
      <c r="M46" s="224"/>
      <c r="N46" s="230"/>
      <c r="P46" s="333"/>
      <c r="S46" s="333"/>
    </row>
    <row r="47" spans="2:19" ht="20.100000000000001" customHeight="1">
      <c r="B47" s="395"/>
      <c r="C47" s="332" t="s">
        <v>255</v>
      </c>
      <c r="D47" s="332"/>
      <c r="E47" s="332"/>
      <c r="F47" s="370" t="b">
        <v>0</v>
      </c>
      <c r="G47" s="370"/>
      <c r="H47" s="74"/>
      <c r="I47" s="357"/>
      <c r="J47" s="357"/>
      <c r="K47" s="436"/>
      <c r="L47" s="224"/>
      <c r="M47" s="224"/>
      <c r="N47" s="230"/>
      <c r="P47" s="333"/>
      <c r="S47" s="333"/>
    </row>
    <row r="48" spans="2:19" ht="20.100000000000001" customHeight="1">
      <c r="B48" s="395"/>
      <c r="C48" s="413" t="s">
        <v>256</v>
      </c>
      <c r="D48" s="413"/>
      <c r="E48" s="413"/>
      <c r="F48" s="413"/>
      <c r="G48" s="413"/>
      <c r="H48" s="413"/>
      <c r="I48" s="357"/>
      <c r="J48" s="357"/>
      <c r="K48" s="436"/>
      <c r="L48" s="224"/>
      <c r="M48" s="224"/>
      <c r="N48" s="230"/>
      <c r="P48" s="333"/>
      <c r="S48" s="333"/>
    </row>
    <row r="49" spans="2:19" ht="20.100000000000001" customHeight="1">
      <c r="B49" s="395"/>
      <c r="C49" s="332" t="s">
        <v>257</v>
      </c>
      <c r="D49" s="332"/>
      <c r="E49" s="332"/>
      <c r="F49" s="370" t="b">
        <v>0</v>
      </c>
      <c r="G49" s="370"/>
      <c r="H49" s="74"/>
      <c r="I49" s="357"/>
      <c r="J49" s="357"/>
      <c r="K49" s="436"/>
      <c r="L49" s="224"/>
      <c r="M49" s="224"/>
      <c r="N49" s="230"/>
      <c r="P49" s="333"/>
      <c r="S49" s="333"/>
    </row>
    <row r="50" spans="2:19" ht="20.100000000000001" customHeight="1">
      <c r="B50" s="395"/>
      <c r="C50" s="391" t="s">
        <v>258</v>
      </c>
      <c r="D50" s="391"/>
      <c r="E50" s="391"/>
      <c r="F50" s="373" t="b">
        <v>0</v>
      </c>
      <c r="G50" s="373"/>
      <c r="H50" s="127"/>
      <c r="I50" s="357"/>
      <c r="J50" s="357"/>
      <c r="K50" s="436"/>
      <c r="L50" s="224"/>
      <c r="M50" s="224"/>
      <c r="N50" s="230"/>
      <c r="P50" s="333"/>
      <c r="S50" s="333"/>
    </row>
    <row r="51" spans="2:19" ht="33" customHeight="1">
      <c r="B51" s="395">
        <v>8</v>
      </c>
      <c r="C51" s="334" t="s">
        <v>259</v>
      </c>
      <c r="D51" s="334"/>
      <c r="E51" s="334"/>
      <c r="F51" s="336"/>
      <c r="G51" s="336"/>
      <c r="H51" s="105"/>
      <c r="I51" s="274" t="str">
        <f>IF(F51="No", "The absence of data protection and security measure policies exposes the organization to increased risk of data breaches, unauthorized access, mishandling of personal data, and non-compliance with data protection regulations. ", "")</f>
        <v/>
      </c>
      <c r="J51" s="274" t="str">
        <f>IF(F51="No", "Failure to implement reasonable and appropriate security measures – Organizational ","")</f>
        <v/>
      </c>
      <c r="K51" s="273" t="str">
        <f>IF(F51="No", "SEC. 20, DPA ", "")</f>
        <v/>
      </c>
      <c r="L51" s="224" t="str">
        <f>IF(AND(F51="No", COUNTIF(C53:H103, "False")&gt;42), 4, IF(AND(F51="No",  'P1 Threshold Analysis'!D5="Yes", COUNTIF(C53:H103, "True")&gt;0), 4, IF(AND(F51="No", 'P1 Threshold Analysis'!D5="No",COUNTIF(C53:H103, "True")&gt;0), 3, "")))</f>
        <v/>
      </c>
      <c r="M51" s="224" t="str">
        <f>IF(AND(F51="No", COUNTIF(C53:H103, "False")&gt;42), 4, IF(AND(F51="No",  'P1 Threshold Analysis'!D5="Yes", COUNTIF(C53:H103, "True")&gt;0), 4, IF(AND(F51="No", 'P1 Threshold Analysis'!D5="No",COUNTIF(C53:H103, "True")&gt;0), 3, "")))</f>
        <v/>
      </c>
      <c r="N51" s="230" t="str">
        <f>IF(OR(L51="", M51=""), "",
 IF(L51*M51&gt;=10, IF(L51*M51&lt;=16, "High Risk", ""),
 IF(L51*M51&gt;=6, IF(L51*M51&lt;=9, "Medium Risk", ""),
 IF(L51*M51&gt;=2, IF(L51*M51&lt;=4, "Low Risk", ""),
 IF(L51*M51=1, "Negligible", "")))))</f>
        <v/>
      </c>
      <c r="P51" s="333"/>
      <c r="S51" s="333"/>
    </row>
    <row r="52" spans="2:19" ht="20.100000000000001" customHeight="1">
      <c r="B52" s="396"/>
      <c r="C52" s="413" t="s">
        <v>260</v>
      </c>
      <c r="D52" s="413"/>
      <c r="E52" s="413"/>
      <c r="F52" s="413"/>
      <c r="G52" s="413"/>
      <c r="H52" s="413"/>
      <c r="I52" s="357"/>
      <c r="J52" s="357"/>
      <c r="K52" s="436"/>
      <c r="L52" s="224"/>
      <c r="M52" s="224"/>
      <c r="N52" s="230"/>
      <c r="P52" s="333"/>
      <c r="S52" s="333"/>
    </row>
    <row r="53" spans="2:19" ht="20.100000000000001" customHeight="1">
      <c r="B53" s="396"/>
      <c r="C53" s="332" t="s">
        <v>261</v>
      </c>
      <c r="D53" s="332"/>
      <c r="E53" s="332"/>
      <c r="F53" s="370" t="b">
        <v>0</v>
      </c>
      <c r="G53" s="370"/>
      <c r="H53" s="74"/>
      <c r="I53" s="357"/>
      <c r="J53" s="357"/>
      <c r="K53" s="436"/>
      <c r="L53" s="224"/>
      <c r="M53" s="224"/>
      <c r="N53" s="230"/>
      <c r="P53" s="333"/>
      <c r="S53" s="333"/>
    </row>
    <row r="54" spans="2:19" ht="20.100000000000001" customHeight="1">
      <c r="B54" s="396"/>
      <c r="C54" s="332" t="s">
        <v>262</v>
      </c>
      <c r="D54" s="332"/>
      <c r="E54" s="332"/>
      <c r="F54" s="370" t="b">
        <v>0</v>
      </c>
      <c r="G54" s="370"/>
      <c r="H54" s="74"/>
      <c r="I54" s="357"/>
      <c r="J54" s="357"/>
      <c r="K54" s="436"/>
      <c r="L54" s="224"/>
      <c r="M54" s="224"/>
      <c r="N54" s="230"/>
      <c r="P54" s="333"/>
      <c r="S54" s="333"/>
    </row>
    <row r="55" spans="2:19" ht="20.100000000000001" customHeight="1">
      <c r="B55" s="396"/>
      <c r="C55" s="332" t="s">
        <v>263</v>
      </c>
      <c r="D55" s="332"/>
      <c r="E55" s="332"/>
      <c r="F55" s="370" t="b">
        <v>0</v>
      </c>
      <c r="G55" s="370"/>
      <c r="H55" s="74"/>
      <c r="I55" s="357"/>
      <c r="J55" s="357"/>
      <c r="K55" s="436"/>
      <c r="L55" s="224"/>
      <c r="M55" s="224"/>
      <c r="N55" s="230"/>
      <c r="P55" s="333"/>
      <c r="S55" s="333"/>
    </row>
    <row r="56" spans="2:19" ht="15.75" customHeight="1">
      <c r="B56" s="396"/>
      <c r="C56" s="437" t="s">
        <v>264</v>
      </c>
      <c r="D56" s="437"/>
      <c r="E56" s="437"/>
      <c r="F56" s="437"/>
      <c r="G56" s="437"/>
      <c r="H56" s="437"/>
      <c r="I56" s="357"/>
      <c r="J56" s="357"/>
      <c r="K56" s="436"/>
      <c r="L56" s="224"/>
      <c r="M56" s="224"/>
      <c r="N56" s="230"/>
      <c r="P56" s="333"/>
      <c r="S56" s="333"/>
    </row>
    <row r="57" spans="2:19" ht="16.5" customHeight="1">
      <c r="B57" s="396"/>
      <c r="C57" s="409" t="s">
        <v>265</v>
      </c>
      <c r="D57" s="409"/>
      <c r="E57" s="409"/>
      <c r="F57" s="370" t="b">
        <v>0</v>
      </c>
      <c r="G57" s="370"/>
      <c r="H57" s="74"/>
      <c r="I57" s="357"/>
      <c r="J57" s="357"/>
      <c r="K57" s="436"/>
      <c r="L57" s="224"/>
      <c r="M57" s="224"/>
      <c r="N57" s="230"/>
      <c r="P57" s="333"/>
      <c r="S57" s="333"/>
    </row>
    <row r="58" spans="2:19" ht="16.5" customHeight="1">
      <c r="B58" s="396"/>
      <c r="C58" s="409" t="s">
        <v>266</v>
      </c>
      <c r="D58" s="409"/>
      <c r="E58" s="409"/>
      <c r="F58" s="370" t="b">
        <v>0</v>
      </c>
      <c r="G58" s="370"/>
      <c r="H58" s="74"/>
      <c r="I58" s="357"/>
      <c r="J58" s="357"/>
      <c r="K58" s="436"/>
      <c r="L58" s="224"/>
      <c r="M58" s="224"/>
      <c r="N58" s="230"/>
      <c r="P58" s="333"/>
      <c r="S58" s="333"/>
    </row>
    <row r="59" spans="2:19" ht="16.5" customHeight="1">
      <c r="B59" s="396"/>
      <c r="C59" s="409" t="s">
        <v>267</v>
      </c>
      <c r="D59" s="409"/>
      <c r="E59" s="409"/>
      <c r="F59" s="370" t="b">
        <v>0</v>
      </c>
      <c r="G59" s="370"/>
      <c r="H59" s="74"/>
      <c r="I59" s="357"/>
      <c r="J59" s="357"/>
      <c r="K59" s="436"/>
      <c r="L59" s="224"/>
      <c r="M59" s="224"/>
      <c r="N59" s="230"/>
      <c r="P59" s="333"/>
      <c r="S59" s="333"/>
    </row>
    <row r="60" spans="2:19" ht="16.5" customHeight="1">
      <c r="B60" s="396"/>
      <c r="C60" s="409" t="s">
        <v>268</v>
      </c>
      <c r="D60" s="409"/>
      <c r="E60" s="409"/>
      <c r="F60" s="370" t="b">
        <v>0</v>
      </c>
      <c r="G60" s="370"/>
      <c r="H60" s="74"/>
      <c r="I60" s="357"/>
      <c r="J60" s="357"/>
      <c r="K60" s="436"/>
      <c r="L60" s="224"/>
      <c r="M60" s="224"/>
      <c r="N60" s="230"/>
      <c r="P60" s="333"/>
      <c r="S60" s="333"/>
    </row>
    <row r="61" spans="2:19" ht="16.5" customHeight="1">
      <c r="B61" s="396"/>
      <c r="C61" s="409" t="s">
        <v>269</v>
      </c>
      <c r="D61" s="409"/>
      <c r="E61" s="409"/>
      <c r="F61" s="370" t="b">
        <v>0</v>
      </c>
      <c r="G61" s="370"/>
      <c r="H61" s="74"/>
      <c r="I61" s="357"/>
      <c r="J61" s="357"/>
      <c r="K61" s="436"/>
      <c r="L61" s="224"/>
      <c r="M61" s="224"/>
      <c r="N61" s="230"/>
      <c r="P61" s="333"/>
      <c r="S61" s="333"/>
    </row>
    <row r="62" spans="2:19" ht="15" customHeight="1">
      <c r="B62" s="396"/>
      <c r="C62" s="409" t="s">
        <v>270</v>
      </c>
      <c r="D62" s="409"/>
      <c r="E62" s="409"/>
      <c r="F62" s="409"/>
      <c r="G62" s="409"/>
      <c r="H62" s="409"/>
      <c r="I62" s="357"/>
      <c r="J62" s="357"/>
      <c r="K62" s="436"/>
      <c r="L62" s="224"/>
      <c r="M62" s="224"/>
      <c r="N62" s="230"/>
      <c r="P62" s="333"/>
      <c r="S62" s="333"/>
    </row>
    <row r="63" spans="2:19" ht="17.25" customHeight="1">
      <c r="B63" s="396"/>
      <c r="C63" s="437" t="s">
        <v>271</v>
      </c>
      <c r="D63" s="437"/>
      <c r="E63" s="437"/>
      <c r="F63" s="437"/>
      <c r="G63" s="437"/>
      <c r="H63" s="437"/>
      <c r="I63" s="357"/>
      <c r="J63" s="357"/>
      <c r="K63" s="436"/>
      <c r="L63" s="224"/>
      <c r="M63" s="224"/>
      <c r="N63" s="230"/>
      <c r="P63" s="333"/>
      <c r="S63" s="333"/>
    </row>
    <row r="64" spans="2:19" ht="15.75" customHeight="1">
      <c r="B64" s="396"/>
      <c r="C64" s="409" t="s">
        <v>272</v>
      </c>
      <c r="D64" s="409"/>
      <c r="E64" s="409"/>
      <c r="F64" s="370" t="b">
        <v>0</v>
      </c>
      <c r="G64" s="370"/>
      <c r="H64" s="119"/>
      <c r="I64" s="357"/>
      <c r="J64" s="357"/>
      <c r="K64" s="436"/>
      <c r="L64" s="224"/>
      <c r="M64" s="224"/>
      <c r="N64" s="230"/>
      <c r="P64" s="333"/>
      <c r="S64" s="333"/>
    </row>
    <row r="65" spans="2:19" ht="30.75" customHeight="1">
      <c r="B65" s="396"/>
      <c r="C65" s="409" t="s">
        <v>273</v>
      </c>
      <c r="D65" s="409"/>
      <c r="E65" s="409"/>
      <c r="F65" s="370" t="b">
        <v>0</v>
      </c>
      <c r="G65" s="370"/>
      <c r="H65" s="119"/>
      <c r="I65" s="357"/>
      <c r="J65" s="357"/>
      <c r="K65" s="436"/>
      <c r="L65" s="224"/>
      <c r="M65" s="224"/>
      <c r="N65" s="230"/>
      <c r="P65" s="333"/>
      <c r="S65" s="333"/>
    </row>
    <row r="66" spans="2:19" ht="15.75" customHeight="1">
      <c r="B66" s="396"/>
      <c r="C66" s="409" t="s">
        <v>274</v>
      </c>
      <c r="D66" s="409"/>
      <c r="E66" s="409"/>
      <c r="F66" s="370" t="b">
        <v>0</v>
      </c>
      <c r="G66" s="370"/>
      <c r="H66" s="119"/>
      <c r="I66" s="357"/>
      <c r="J66" s="357"/>
      <c r="K66" s="436"/>
      <c r="L66" s="224"/>
      <c r="M66" s="224"/>
      <c r="N66" s="230"/>
      <c r="P66" s="333"/>
      <c r="S66" s="333"/>
    </row>
    <row r="67" spans="2:19" ht="15.75" customHeight="1">
      <c r="B67" s="396"/>
      <c r="C67" s="409" t="s">
        <v>275</v>
      </c>
      <c r="D67" s="409"/>
      <c r="E67" s="409"/>
      <c r="F67" s="370" t="b">
        <v>0</v>
      </c>
      <c r="G67" s="370"/>
      <c r="H67" s="119"/>
      <c r="I67" s="357"/>
      <c r="J67" s="357"/>
      <c r="K67" s="436"/>
      <c r="L67" s="224"/>
      <c r="M67" s="224"/>
      <c r="N67" s="230"/>
      <c r="P67" s="333"/>
      <c r="S67" s="333"/>
    </row>
    <row r="68" spans="2:19" ht="15.75" customHeight="1">
      <c r="B68" s="396"/>
      <c r="C68" s="409" t="s">
        <v>276</v>
      </c>
      <c r="D68" s="409"/>
      <c r="E68" s="409"/>
      <c r="F68" s="370" t="b">
        <v>0</v>
      </c>
      <c r="G68" s="370"/>
      <c r="H68" s="119"/>
      <c r="I68" s="357"/>
      <c r="J68" s="357"/>
      <c r="K68" s="436"/>
      <c r="L68" s="224"/>
      <c r="M68" s="224"/>
      <c r="N68" s="230"/>
      <c r="P68" s="333"/>
      <c r="S68" s="333"/>
    </row>
    <row r="69" spans="2:19" ht="26.25" customHeight="1">
      <c r="B69" s="396"/>
      <c r="C69" s="409" t="s">
        <v>277</v>
      </c>
      <c r="D69" s="409"/>
      <c r="E69" s="409"/>
      <c r="F69" s="370" t="b">
        <v>0</v>
      </c>
      <c r="G69" s="370"/>
      <c r="H69" s="119"/>
      <c r="I69" s="357"/>
      <c r="J69" s="357"/>
      <c r="K69" s="436"/>
      <c r="L69" s="224"/>
      <c r="M69" s="224"/>
      <c r="N69" s="230"/>
      <c r="P69" s="333"/>
      <c r="S69" s="333"/>
    </row>
    <row r="70" spans="2:19" ht="22.5" customHeight="1">
      <c r="B70" s="396"/>
      <c r="C70" s="437" t="s">
        <v>278</v>
      </c>
      <c r="D70" s="437"/>
      <c r="E70" s="437"/>
      <c r="F70" s="437"/>
      <c r="G70" s="437"/>
      <c r="H70" s="437"/>
      <c r="I70" s="357"/>
      <c r="J70" s="357"/>
      <c r="K70" s="436"/>
      <c r="L70" s="224"/>
      <c r="M70" s="224"/>
      <c r="N70" s="230"/>
      <c r="P70" s="333"/>
      <c r="S70" s="333"/>
    </row>
    <row r="71" spans="2:19" ht="20.25" customHeight="1">
      <c r="B71" s="396"/>
      <c r="C71" s="409" t="s">
        <v>279</v>
      </c>
      <c r="D71" s="409"/>
      <c r="E71" s="409"/>
      <c r="F71" s="370" t="b">
        <v>0</v>
      </c>
      <c r="G71" s="370" t="b">
        <v>0</v>
      </c>
      <c r="H71" s="119"/>
      <c r="I71" s="357"/>
      <c r="J71" s="357"/>
      <c r="K71" s="436"/>
      <c r="L71" s="224"/>
      <c r="M71" s="224"/>
      <c r="N71" s="230"/>
      <c r="P71" s="333"/>
      <c r="S71" s="333"/>
    </row>
    <row r="72" spans="2:19" ht="20.25" customHeight="1">
      <c r="B72" s="396"/>
      <c r="C72" s="409" t="s">
        <v>280</v>
      </c>
      <c r="D72" s="409"/>
      <c r="E72" s="409"/>
      <c r="F72" s="370" t="b">
        <v>0</v>
      </c>
      <c r="G72" s="370" t="b">
        <v>0</v>
      </c>
      <c r="H72" s="119"/>
      <c r="I72" s="357"/>
      <c r="J72" s="357"/>
      <c r="K72" s="436"/>
      <c r="L72" s="224"/>
      <c r="M72" s="224"/>
      <c r="N72" s="230"/>
      <c r="P72" s="333"/>
      <c r="S72" s="333"/>
    </row>
    <row r="73" spans="2:19" ht="20.25" customHeight="1">
      <c r="B73" s="396"/>
      <c r="C73" s="409" t="s">
        <v>281</v>
      </c>
      <c r="D73" s="409"/>
      <c r="E73" s="409"/>
      <c r="F73" s="370" t="b">
        <v>0</v>
      </c>
      <c r="G73" s="370" t="b">
        <v>0</v>
      </c>
      <c r="H73" s="119"/>
      <c r="I73" s="357"/>
      <c r="J73" s="357"/>
      <c r="K73" s="436"/>
      <c r="L73" s="224"/>
      <c r="M73" s="224"/>
      <c r="N73" s="230"/>
      <c r="P73" s="333"/>
      <c r="S73" s="333"/>
    </row>
    <row r="74" spans="2:19" ht="20.25" customHeight="1">
      <c r="B74" s="396"/>
      <c r="C74" s="409" t="s">
        <v>282</v>
      </c>
      <c r="D74" s="409"/>
      <c r="E74" s="409"/>
      <c r="F74" s="370" t="b">
        <v>0</v>
      </c>
      <c r="G74" s="370" t="b">
        <v>0</v>
      </c>
      <c r="H74" s="119"/>
      <c r="I74" s="357"/>
      <c r="J74" s="357"/>
      <c r="K74" s="436"/>
      <c r="L74" s="224"/>
      <c r="M74" s="224"/>
      <c r="N74" s="230"/>
      <c r="P74" s="333"/>
      <c r="S74" s="333"/>
    </row>
    <row r="75" spans="2:19" ht="20.25" customHeight="1">
      <c r="B75" s="396"/>
      <c r="C75" s="409" t="s">
        <v>283</v>
      </c>
      <c r="D75" s="409"/>
      <c r="E75" s="409"/>
      <c r="F75" s="370" t="b">
        <v>0</v>
      </c>
      <c r="G75" s="370" t="b">
        <v>0</v>
      </c>
      <c r="H75" s="119"/>
      <c r="I75" s="357"/>
      <c r="J75" s="357"/>
      <c r="K75" s="436"/>
      <c r="L75" s="224"/>
      <c r="M75" s="224"/>
      <c r="N75" s="230"/>
      <c r="P75" s="333"/>
      <c r="S75" s="333"/>
    </row>
    <row r="76" spans="2:19" ht="20.25" customHeight="1">
      <c r="B76" s="396"/>
      <c r="C76" s="409" t="s">
        <v>284</v>
      </c>
      <c r="D76" s="409"/>
      <c r="E76" s="409"/>
      <c r="F76" s="370" t="b">
        <v>0</v>
      </c>
      <c r="G76" s="370" t="b">
        <v>0</v>
      </c>
      <c r="H76" s="119"/>
      <c r="I76" s="357"/>
      <c r="J76" s="357"/>
      <c r="K76" s="436"/>
      <c r="L76" s="224"/>
      <c r="M76" s="224"/>
      <c r="N76" s="230"/>
      <c r="P76" s="333"/>
      <c r="S76" s="333"/>
    </row>
    <row r="77" spans="2:19" ht="20.25" customHeight="1">
      <c r="B77" s="396"/>
      <c r="C77" s="409" t="s">
        <v>285</v>
      </c>
      <c r="D77" s="409"/>
      <c r="E77" s="409"/>
      <c r="F77" s="370" t="b">
        <v>0</v>
      </c>
      <c r="G77" s="370" t="b">
        <v>0</v>
      </c>
      <c r="H77" s="119"/>
      <c r="I77" s="357"/>
      <c r="J77" s="357"/>
      <c r="K77" s="436"/>
      <c r="L77" s="224"/>
      <c r="M77" s="224"/>
      <c r="N77" s="230"/>
      <c r="P77" s="333"/>
      <c r="S77" s="333"/>
    </row>
    <row r="78" spans="2:19" ht="20.25" customHeight="1">
      <c r="B78" s="396"/>
      <c r="C78" s="439" t="s">
        <v>286</v>
      </c>
      <c r="D78" s="439"/>
      <c r="E78" s="439"/>
      <c r="F78" s="439"/>
      <c r="G78" s="439"/>
      <c r="H78" s="439"/>
      <c r="I78" s="357"/>
      <c r="J78" s="357"/>
      <c r="K78" s="436"/>
      <c r="L78" s="224"/>
      <c r="M78" s="224"/>
      <c r="N78" s="230"/>
      <c r="P78" s="333"/>
      <c r="S78" s="333"/>
    </row>
    <row r="79" spans="2:19" ht="20.25" customHeight="1">
      <c r="B79" s="396"/>
      <c r="C79" s="435" t="s">
        <v>287</v>
      </c>
      <c r="D79" s="435"/>
      <c r="E79" s="435"/>
      <c r="F79" s="370" t="b">
        <v>0</v>
      </c>
      <c r="G79" s="370" t="b">
        <v>0</v>
      </c>
      <c r="H79" s="119"/>
      <c r="I79" s="357"/>
      <c r="J79" s="357"/>
      <c r="K79" s="436"/>
      <c r="L79" s="224"/>
      <c r="M79" s="224"/>
      <c r="N79" s="230"/>
      <c r="P79" s="333"/>
      <c r="S79" s="333"/>
    </row>
    <row r="80" spans="2:19" ht="20.25" customHeight="1">
      <c r="B80" s="396"/>
      <c r="C80" s="435" t="s">
        <v>288</v>
      </c>
      <c r="D80" s="435"/>
      <c r="E80" s="435"/>
      <c r="F80" s="370" t="b">
        <v>0</v>
      </c>
      <c r="G80" s="370" t="b">
        <v>0</v>
      </c>
      <c r="H80" s="119"/>
      <c r="I80" s="357"/>
      <c r="J80" s="357"/>
      <c r="K80" s="436"/>
      <c r="L80" s="224"/>
      <c r="M80" s="224"/>
      <c r="N80" s="230"/>
      <c r="P80" s="333"/>
      <c r="S80" s="333"/>
    </row>
    <row r="81" spans="2:19" ht="31.5" customHeight="1">
      <c r="B81" s="396"/>
      <c r="C81" s="435" t="s">
        <v>289</v>
      </c>
      <c r="D81" s="435"/>
      <c r="E81" s="435"/>
      <c r="F81" s="370" t="b">
        <v>0</v>
      </c>
      <c r="G81" s="370" t="b">
        <v>0</v>
      </c>
      <c r="H81" s="119"/>
      <c r="I81" s="357"/>
      <c r="J81" s="357"/>
      <c r="K81" s="436"/>
      <c r="L81" s="224"/>
      <c r="M81" s="224"/>
      <c r="N81" s="230"/>
      <c r="P81" s="333"/>
      <c r="S81" s="333"/>
    </row>
    <row r="82" spans="2:19" ht="36" customHeight="1">
      <c r="B82" s="396"/>
      <c r="C82" s="435" t="s">
        <v>290</v>
      </c>
      <c r="D82" s="435"/>
      <c r="E82" s="435"/>
      <c r="F82" s="370" t="b">
        <v>0</v>
      </c>
      <c r="G82" s="370" t="b">
        <v>0</v>
      </c>
      <c r="H82" s="119"/>
      <c r="I82" s="357"/>
      <c r="J82" s="357"/>
      <c r="K82" s="436"/>
      <c r="L82" s="224"/>
      <c r="M82" s="224"/>
      <c r="N82" s="230"/>
      <c r="P82" s="333"/>
      <c r="S82" s="333"/>
    </row>
    <row r="83" spans="2:19" s="33" customFormat="1" ht="21.95" customHeight="1">
      <c r="B83" s="396"/>
      <c r="C83" s="438" t="s">
        <v>291</v>
      </c>
      <c r="D83" s="438"/>
      <c r="E83" s="438"/>
      <c r="F83" s="438"/>
      <c r="G83" s="438"/>
      <c r="H83" s="438"/>
      <c r="I83" s="357"/>
      <c r="J83" s="357"/>
      <c r="K83" s="436"/>
      <c r="L83" s="224"/>
      <c r="M83" s="224"/>
      <c r="N83" s="230"/>
      <c r="P83" s="333"/>
      <c r="S83" s="333"/>
    </row>
    <row r="84" spans="2:19" ht="21.95" customHeight="1">
      <c r="B84" s="396"/>
      <c r="C84" s="332" t="s">
        <v>292</v>
      </c>
      <c r="D84" s="332"/>
      <c r="E84" s="332"/>
      <c r="F84" s="370" t="b">
        <v>0</v>
      </c>
      <c r="G84" s="370"/>
      <c r="H84" s="74"/>
      <c r="I84" s="357"/>
      <c r="J84" s="357"/>
      <c r="K84" s="436"/>
      <c r="L84" s="224"/>
      <c r="M84" s="224"/>
      <c r="N84" s="230"/>
      <c r="P84" s="333"/>
      <c r="S84" s="333"/>
    </row>
    <row r="85" spans="2:19" ht="21.95" customHeight="1">
      <c r="B85" s="396"/>
      <c r="C85" s="332" t="s">
        <v>293</v>
      </c>
      <c r="D85" s="332"/>
      <c r="E85" s="332"/>
      <c r="F85" s="370" t="b">
        <v>0</v>
      </c>
      <c r="G85" s="370"/>
      <c r="H85" s="74"/>
      <c r="I85" s="357"/>
      <c r="J85" s="357"/>
      <c r="K85" s="436"/>
      <c r="L85" s="224"/>
      <c r="M85" s="224"/>
      <c r="N85" s="230"/>
      <c r="P85" s="333"/>
      <c r="S85" s="333"/>
    </row>
    <row r="86" spans="2:19" ht="21.95" customHeight="1">
      <c r="B86" s="396"/>
      <c r="C86" s="409" t="s">
        <v>294</v>
      </c>
      <c r="D86" s="332"/>
      <c r="E86" s="332"/>
      <c r="F86" s="370" t="b">
        <v>0</v>
      </c>
      <c r="G86" s="370"/>
      <c r="H86" s="74"/>
      <c r="I86" s="357"/>
      <c r="J86" s="357"/>
      <c r="K86" s="436"/>
      <c r="L86" s="224"/>
      <c r="M86" s="224"/>
      <c r="N86" s="230"/>
      <c r="P86" s="333"/>
      <c r="S86" s="333"/>
    </row>
    <row r="87" spans="2:19" ht="33.75" customHeight="1">
      <c r="B87" s="396"/>
      <c r="C87" s="332" t="s">
        <v>295</v>
      </c>
      <c r="D87" s="332"/>
      <c r="E87" s="332"/>
      <c r="F87" s="370" t="b">
        <v>0</v>
      </c>
      <c r="G87" s="370"/>
      <c r="H87" s="74"/>
      <c r="I87" s="357"/>
      <c r="J87" s="357"/>
      <c r="K87" s="436"/>
      <c r="L87" s="224"/>
      <c r="M87" s="224"/>
      <c r="N87" s="230"/>
      <c r="P87" s="333"/>
      <c r="S87" s="333"/>
    </row>
    <row r="88" spans="2:19" ht="34.5" customHeight="1">
      <c r="B88" s="396"/>
      <c r="C88" s="332" t="s">
        <v>296</v>
      </c>
      <c r="D88" s="332"/>
      <c r="E88" s="332"/>
      <c r="F88" s="370" t="b">
        <v>0</v>
      </c>
      <c r="G88" s="370"/>
      <c r="H88" s="74"/>
      <c r="I88" s="357"/>
      <c r="J88" s="357"/>
      <c r="K88" s="436"/>
      <c r="L88" s="224"/>
      <c r="M88" s="224"/>
      <c r="N88" s="230"/>
      <c r="P88" s="333"/>
      <c r="S88" s="333"/>
    </row>
    <row r="89" spans="2:19" ht="21.95" customHeight="1">
      <c r="B89" s="396"/>
      <c r="C89" s="332" t="s">
        <v>297</v>
      </c>
      <c r="D89" s="332"/>
      <c r="E89" s="332"/>
      <c r="F89" s="370" t="b">
        <v>0</v>
      </c>
      <c r="G89" s="370"/>
      <c r="H89" s="74"/>
      <c r="I89" s="357"/>
      <c r="J89" s="357"/>
      <c r="K89" s="436"/>
      <c r="L89" s="224"/>
      <c r="M89" s="224"/>
      <c r="N89" s="230"/>
      <c r="P89" s="333"/>
      <c r="S89" s="333"/>
    </row>
    <row r="90" spans="2:19" ht="21.95" customHeight="1">
      <c r="B90" s="396"/>
      <c r="C90" s="438" t="s">
        <v>298</v>
      </c>
      <c r="D90" s="438"/>
      <c r="E90" s="438"/>
      <c r="F90" s="438"/>
      <c r="G90" s="438"/>
      <c r="H90" s="438"/>
      <c r="I90" s="357"/>
      <c r="J90" s="357"/>
      <c r="K90" s="436"/>
      <c r="L90" s="224"/>
      <c r="M90" s="224"/>
      <c r="N90" s="230"/>
      <c r="P90" s="333"/>
      <c r="S90" s="333"/>
    </row>
    <row r="91" spans="2:19" ht="21.95" customHeight="1">
      <c r="B91" s="396"/>
      <c r="C91" s="332" t="s">
        <v>299</v>
      </c>
      <c r="D91" s="332"/>
      <c r="E91" s="332"/>
      <c r="F91" s="370" t="b">
        <v>0</v>
      </c>
      <c r="G91" s="370"/>
      <c r="H91" s="74"/>
      <c r="I91" s="357"/>
      <c r="J91" s="357"/>
      <c r="K91" s="436"/>
      <c r="L91" s="224"/>
      <c r="M91" s="224"/>
      <c r="N91" s="230"/>
      <c r="P91" s="333"/>
      <c r="S91" s="333"/>
    </row>
    <row r="92" spans="2:19" ht="21.95" customHeight="1">
      <c r="B92" s="396"/>
      <c r="C92" s="332" t="s">
        <v>300</v>
      </c>
      <c r="D92" s="332"/>
      <c r="E92" s="332"/>
      <c r="F92" s="370" t="b">
        <v>0</v>
      </c>
      <c r="G92" s="370"/>
      <c r="H92" s="74"/>
      <c r="I92" s="357"/>
      <c r="J92" s="357"/>
      <c r="K92" s="436"/>
      <c r="L92" s="224"/>
      <c r="M92" s="224"/>
      <c r="N92" s="230"/>
      <c r="P92" s="333"/>
      <c r="S92" s="333"/>
    </row>
    <row r="93" spans="2:19" ht="21.95" customHeight="1">
      <c r="B93" s="396"/>
      <c r="C93" s="332" t="s">
        <v>301</v>
      </c>
      <c r="D93" s="332"/>
      <c r="E93" s="332"/>
      <c r="F93" s="370" t="b">
        <v>0</v>
      </c>
      <c r="G93" s="370"/>
      <c r="H93" s="74"/>
      <c r="I93" s="357"/>
      <c r="J93" s="357"/>
      <c r="K93" s="436"/>
      <c r="L93" s="224"/>
      <c r="M93" s="224"/>
      <c r="N93" s="230"/>
      <c r="P93" s="333"/>
      <c r="S93" s="333"/>
    </row>
    <row r="94" spans="2:19" ht="21.95" customHeight="1">
      <c r="B94" s="396"/>
      <c r="C94" s="332" t="s">
        <v>302</v>
      </c>
      <c r="D94" s="332"/>
      <c r="E94" s="332"/>
      <c r="F94" s="370" t="b">
        <v>0</v>
      </c>
      <c r="G94" s="370"/>
      <c r="H94" s="74"/>
      <c r="I94" s="357"/>
      <c r="J94" s="357"/>
      <c r="K94" s="436"/>
      <c r="L94" s="224"/>
      <c r="M94" s="224"/>
      <c r="N94" s="230"/>
      <c r="P94" s="333"/>
      <c r="S94" s="333"/>
    </row>
    <row r="95" spans="2:19" ht="21.95" customHeight="1">
      <c r="B95" s="396"/>
      <c r="C95" s="332" t="s">
        <v>303</v>
      </c>
      <c r="D95" s="332"/>
      <c r="E95" s="332"/>
      <c r="F95" s="370" t="b">
        <v>0</v>
      </c>
      <c r="G95" s="370"/>
      <c r="H95" s="74"/>
      <c r="I95" s="357"/>
      <c r="J95" s="357"/>
      <c r="K95" s="436"/>
      <c r="L95" s="224"/>
      <c r="M95" s="224"/>
      <c r="N95" s="230"/>
      <c r="P95" s="333"/>
      <c r="S95" s="333"/>
    </row>
    <row r="96" spans="2:19" ht="21.95" customHeight="1">
      <c r="B96" s="396"/>
      <c r="C96" s="332" t="s">
        <v>304</v>
      </c>
      <c r="D96" s="332"/>
      <c r="E96" s="332"/>
      <c r="F96" s="370" t="b">
        <v>0</v>
      </c>
      <c r="G96" s="370"/>
      <c r="H96" s="74"/>
      <c r="I96" s="357"/>
      <c r="J96" s="357"/>
      <c r="K96" s="436"/>
      <c r="L96" s="224"/>
      <c r="M96" s="224"/>
      <c r="N96" s="230"/>
      <c r="P96" s="333"/>
      <c r="S96" s="333"/>
    </row>
    <row r="97" spans="2:19" ht="21.95" customHeight="1">
      <c r="B97" s="396"/>
      <c r="C97" s="438" t="s">
        <v>305</v>
      </c>
      <c r="D97" s="438"/>
      <c r="E97" s="438"/>
      <c r="F97" s="438"/>
      <c r="G97" s="438"/>
      <c r="H97" s="438"/>
      <c r="I97" s="357"/>
      <c r="J97" s="357"/>
      <c r="K97" s="436"/>
      <c r="L97" s="224"/>
      <c r="M97" s="224"/>
      <c r="N97" s="230"/>
      <c r="P97" s="333"/>
      <c r="S97" s="333"/>
    </row>
    <row r="98" spans="2:19" ht="21.95" customHeight="1">
      <c r="B98" s="396"/>
      <c r="C98" s="332" t="s">
        <v>306</v>
      </c>
      <c r="D98" s="332"/>
      <c r="E98" s="332"/>
      <c r="F98" s="370" t="b">
        <v>0</v>
      </c>
      <c r="G98" s="370"/>
      <c r="H98" s="74"/>
      <c r="I98" s="357"/>
      <c r="J98" s="357"/>
      <c r="K98" s="436"/>
      <c r="L98" s="224"/>
      <c r="M98" s="224"/>
      <c r="N98" s="230"/>
      <c r="P98" s="333"/>
      <c r="S98" s="333"/>
    </row>
    <row r="99" spans="2:19" ht="21.95" customHeight="1">
      <c r="B99" s="396"/>
      <c r="C99" s="332" t="s">
        <v>307</v>
      </c>
      <c r="D99" s="332"/>
      <c r="E99" s="332"/>
      <c r="F99" s="370" t="b">
        <v>0</v>
      </c>
      <c r="G99" s="370"/>
      <c r="H99" s="74"/>
      <c r="I99" s="357"/>
      <c r="J99" s="357"/>
      <c r="K99" s="436"/>
      <c r="L99" s="224"/>
      <c r="M99" s="224"/>
      <c r="N99" s="230"/>
      <c r="P99" s="333"/>
      <c r="S99" s="333"/>
    </row>
    <row r="100" spans="2:19" ht="21.95" customHeight="1">
      <c r="B100" s="396"/>
      <c r="C100" s="332" t="s">
        <v>308</v>
      </c>
      <c r="D100" s="332"/>
      <c r="E100" s="332"/>
      <c r="F100" s="370" t="b">
        <v>0</v>
      </c>
      <c r="G100" s="370"/>
      <c r="H100" s="74"/>
      <c r="I100" s="357"/>
      <c r="J100" s="357"/>
      <c r="K100" s="436"/>
      <c r="L100" s="224"/>
      <c r="M100" s="224"/>
      <c r="N100" s="230"/>
      <c r="P100" s="333"/>
      <c r="S100" s="333"/>
    </row>
    <row r="101" spans="2:19" ht="21.95" customHeight="1">
      <c r="B101" s="396"/>
      <c r="C101" s="332" t="s">
        <v>309</v>
      </c>
      <c r="D101" s="332"/>
      <c r="E101" s="332"/>
      <c r="F101" s="370" t="b">
        <v>0</v>
      </c>
      <c r="G101" s="370"/>
      <c r="H101" s="74"/>
      <c r="I101" s="357"/>
      <c r="J101" s="357"/>
      <c r="K101" s="436"/>
      <c r="L101" s="224"/>
      <c r="M101" s="224"/>
      <c r="N101" s="230"/>
      <c r="P101" s="333"/>
      <c r="S101" s="333"/>
    </row>
    <row r="102" spans="2:19" ht="21.95" customHeight="1">
      <c r="B102" s="396"/>
      <c r="C102" s="332" t="s">
        <v>310</v>
      </c>
      <c r="D102" s="332"/>
      <c r="E102" s="332"/>
      <c r="F102" s="370" t="b">
        <v>0</v>
      </c>
      <c r="G102" s="370"/>
      <c r="H102" s="74"/>
      <c r="I102" s="357"/>
      <c r="J102" s="357"/>
      <c r="K102" s="436"/>
      <c r="L102" s="224"/>
      <c r="M102" s="224"/>
      <c r="N102" s="230"/>
      <c r="P102" s="333"/>
      <c r="S102" s="333"/>
    </row>
    <row r="103" spans="2:19" ht="21.95" customHeight="1">
      <c r="B103" s="397"/>
      <c r="C103" s="398" t="s">
        <v>311</v>
      </c>
      <c r="D103" s="399"/>
      <c r="E103" s="400"/>
      <c r="F103" s="411" t="b">
        <v>0</v>
      </c>
      <c r="G103" s="411"/>
      <c r="H103" s="80"/>
      <c r="I103" s="357"/>
      <c r="J103" s="357"/>
      <c r="K103" s="436"/>
      <c r="L103" s="224"/>
      <c r="M103" s="224"/>
      <c r="N103" s="230"/>
      <c r="P103" s="333"/>
      <c r="S103" s="333"/>
    </row>
    <row r="104" spans="2:19" ht="46.5" customHeight="1">
      <c r="B104" s="395">
        <v>9</v>
      </c>
      <c r="C104" s="334" t="s">
        <v>312</v>
      </c>
      <c r="D104" s="334"/>
      <c r="E104" s="334"/>
      <c r="F104" s="420"/>
      <c r="G104" s="421"/>
      <c r="H104" s="105"/>
      <c r="I104" s="230" t="str">
        <f>IF(F104="No", "Without a Data Outsourcing/Subcontracting Agreement with the PIP, the organization risks unregulated data processing, potential misuse, unauthorized access, and non-compliance with data protection laws. ", "")</f>
        <v/>
      </c>
      <c r="J104" s="230" t="str">
        <f>IF(F104="No", "Failure to implement reasonable and appropriate security measures – Organizational 
Failure to ensure that PIP implements security measures ","")</f>
        <v/>
      </c>
      <c r="K104" s="230" t="str">
        <f>IF(F104="No", "SEC. 20, DPA ", "")</f>
        <v/>
      </c>
      <c r="L104" s="387" t="str">
        <f>IF(AND(F104="No", COUNTIF(C106:H120, "False")&gt;13), 4, IF(AND(F104="No",  'P1 Threshold Analysis'!D5="Yes", COUNTIF(C106:H120, "True")&gt;0), 4, IF(AND(F104="No", 'P1 Threshold Analysis'!D5="No",COUNTIF(C106:H120, "True")&gt;0), 3, "")))</f>
        <v/>
      </c>
      <c r="M104" s="387" t="str">
        <f>IF(AND(F104="No", COUNTIF(C106:H120, "False")&gt;13), 4, IF(AND(F104="No",  'P1 Threshold Analysis'!D5="Yes", COUNTIF(C106:H120, "True")&gt;0), 4, IF(AND(F104="No", 'P1 Threshold Analysis'!D5="No",COUNTIF(C106:H120, "True")&gt;0), 3, "")))</f>
        <v/>
      </c>
      <c r="N104" s="275" t="str">
        <f>IF(OR(L104="", M104=""), "",
 IF(L104*M104&gt;=10, IF(L104*M104&lt;=16, "High Risk", ""),
 IF(L104*M104&gt;=6, IF(L104*M104&lt;=9, "Medium Risk", ""),
 IF(L104*M104&gt;=2, IF(L104*M104&lt;=4, "Low Risk", ""),
 IF(L104*M104=1, "Negligible", "")))))</f>
        <v/>
      </c>
      <c r="P104" s="333"/>
      <c r="S104" s="333"/>
    </row>
    <row r="105" spans="2:19" ht="21.95" customHeight="1">
      <c r="B105" s="396"/>
      <c r="C105" s="334" t="s">
        <v>313</v>
      </c>
      <c r="D105" s="334"/>
      <c r="E105" s="334"/>
      <c r="F105" s="334"/>
      <c r="G105" s="334"/>
      <c r="H105" s="334"/>
      <c r="I105" s="230"/>
      <c r="J105" s="230"/>
      <c r="K105" s="230"/>
      <c r="L105" s="224"/>
      <c r="M105" s="224"/>
      <c r="N105" s="230"/>
      <c r="P105" s="333"/>
      <c r="S105" s="333"/>
    </row>
    <row r="106" spans="2:19" ht="17.45" customHeight="1">
      <c r="B106" s="396"/>
      <c r="C106" s="416" t="s">
        <v>314</v>
      </c>
      <c r="D106" s="416"/>
      <c r="E106" s="416"/>
      <c r="F106" s="370" t="b">
        <v>0</v>
      </c>
      <c r="G106" s="370"/>
      <c r="H106" s="74"/>
      <c r="I106" s="230"/>
      <c r="J106" s="230"/>
      <c r="K106" s="230"/>
      <c r="L106" s="224"/>
      <c r="M106" s="224"/>
      <c r="N106" s="230"/>
      <c r="P106" s="333"/>
      <c r="S106" s="333"/>
    </row>
    <row r="107" spans="2:19" ht="17.45" customHeight="1">
      <c r="B107" s="396"/>
      <c r="C107" s="416" t="s">
        <v>315</v>
      </c>
      <c r="D107" s="416"/>
      <c r="E107" s="416"/>
      <c r="F107" s="370" t="b">
        <v>0</v>
      </c>
      <c r="G107" s="370"/>
      <c r="H107" s="74"/>
      <c r="I107" s="230"/>
      <c r="J107" s="230"/>
      <c r="K107" s="230"/>
      <c r="L107" s="224"/>
      <c r="M107" s="224"/>
      <c r="N107" s="230"/>
      <c r="P107" s="333"/>
      <c r="S107" s="333"/>
    </row>
    <row r="108" spans="2:19" ht="17.45" customHeight="1">
      <c r="B108" s="396"/>
      <c r="C108" s="416" t="s">
        <v>316</v>
      </c>
      <c r="D108" s="416"/>
      <c r="E108" s="416"/>
      <c r="F108" s="370" t="b">
        <v>0</v>
      </c>
      <c r="G108" s="370"/>
      <c r="H108" s="74"/>
      <c r="I108" s="230"/>
      <c r="J108" s="230"/>
      <c r="K108" s="230"/>
      <c r="L108" s="224"/>
      <c r="M108" s="224"/>
      <c r="N108" s="230"/>
      <c r="P108" s="333"/>
      <c r="S108" s="333"/>
    </row>
    <row r="109" spans="2:19" ht="39.950000000000003" customHeight="1">
      <c r="B109" s="396"/>
      <c r="C109" s="416" t="s">
        <v>317</v>
      </c>
      <c r="D109" s="416"/>
      <c r="E109" s="416"/>
      <c r="F109" s="370" t="b">
        <v>0</v>
      </c>
      <c r="G109" s="370"/>
      <c r="H109" s="74"/>
      <c r="I109" s="230"/>
      <c r="J109" s="230"/>
      <c r="K109" s="230"/>
      <c r="L109" s="224"/>
      <c r="M109" s="224"/>
      <c r="N109" s="230"/>
      <c r="P109" s="333"/>
      <c r="S109" s="333"/>
    </row>
    <row r="110" spans="2:19" ht="17.45" customHeight="1">
      <c r="B110" s="396"/>
      <c r="C110" s="416" t="s">
        <v>318</v>
      </c>
      <c r="D110" s="416"/>
      <c r="E110" s="416"/>
      <c r="F110" s="370" t="b">
        <v>0</v>
      </c>
      <c r="G110" s="370"/>
      <c r="H110" s="74"/>
      <c r="I110" s="230"/>
      <c r="J110" s="230"/>
      <c r="K110" s="230"/>
      <c r="L110" s="224"/>
      <c r="M110" s="224"/>
      <c r="N110" s="230"/>
      <c r="P110" s="333"/>
      <c r="S110" s="333"/>
    </row>
    <row r="111" spans="2:19" ht="17.45" customHeight="1">
      <c r="B111" s="396"/>
      <c r="C111" s="413" t="s">
        <v>319</v>
      </c>
      <c r="D111" s="413"/>
      <c r="E111" s="413"/>
      <c r="F111" s="413"/>
      <c r="G111" s="413"/>
      <c r="H111" s="413"/>
      <c r="I111" s="230"/>
      <c r="J111" s="230"/>
      <c r="K111" s="230"/>
      <c r="L111" s="224"/>
      <c r="M111" s="224"/>
      <c r="N111" s="230"/>
      <c r="P111" s="333"/>
      <c r="S111" s="333"/>
    </row>
    <row r="112" spans="2:19" ht="30.6" customHeight="1">
      <c r="B112" s="396"/>
      <c r="C112" s="332" t="s">
        <v>320</v>
      </c>
      <c r="D112" s="332"/>
      <c r="E112" s="332"/>
      <c r="F112" s="370" t="b">
        <v>0</v>
      </c>
      <c r="G112" s="370"/>
      <c r="H112" s="74"/>
      <c r="I112" s="230"/>
      <c r="J112" s="230"/>
      <c r="K112" s="230"/>
      <c r="L112" s="224"/>
      <c r="M112" s="224"/>
      <c r="N112" s="230"/>
      <c r="P112" s="333"/>
      <c r="S112" s="333"/>
    </row>
    <row r="113" spans="2:19" ht="30.6" customHeight="1">
      <c r="B113" s="396"/>
      <c r="C113" s="332" t="s">
        <v>321</v>
      </c>
      <c r="D113" s="332"/>
      <c r="E113" s="332"/>
      <c r="F113" s="370" t="b">
        <v>0</v>
      </c>
      <c r="G113" s="370"/>
      <c r="H113" s="74"/>
      <c r="I113" s="230"/>
      <c r="J113" s="230"/>
      <c r="K113" s="230"/>
      <c r="L113" s="224"/>
      <c r="M113" s="224"/>
      <c r="N113" s="230"/>
      <c r="P113" s="333"/>
      <c r="S113" s="333"/>
    </row>
    <row r="114" spans="2:19" ht="30.6" customHeight="1">
      <c r="B114" s="396"/>
      <c r="C114" s="332" t="s">
        <v>322</v>
      </c>
      <c r="D114" s="332"/>
      <c r="E114" s="332"/>
      <c r="F114" s="370" t="b">
        <v>0</v>
      </c>
      <c r="G114" s="370"/>
      <c r="H114" s="74"/>
      <c r="I114" s="230"/>
      <c r="J114" s="230"/>
      <c r="K114" s="230"/>
      <c r="L114" s="224"/>
      <c r="M114" s="224"/>
      <c r="N114" s="230"/>
      <c r="P114" s="333"/>
      <c r="S114" s="333"/>
    </row>
    <row r="115" spans="2:19" ht="30.6" customHeight="1">
      <c r="B115" s="396"/>
      <c r="C115" s="332" t="s">
        <v>323</v>
      </c>
      <c r="D115" s="332"/>
      <c r="E115" s="332"/>
      <c r="F115" s="370" t="b">
        <v>0</v>
      </c>
      <c r="G115" s="370"/>
      <c r="H115" s="74"/>
      <c r="I115" s="230"/>
      <c r="J115" s="230"/>
      <c r="K115" s="230"/>
      <c r="L115" s="224"/>
      <c r="M115" s="224"/>
      <c r="N115" s="230"/>
      <c r="P115" s="333"/>
      <c r="S115" s="333"/>
    </row>
    <row r="116" spans="2:19" ht="30.6" customHeight="1">
      <c r="B116" s="396"/>
      <c r="C116" s="332" t="s">
        <v>324</v>
      </c>
      <c r="D116" s="332"/>
      <c r="E116" s="332"/>
      <c r="F116" s="370" t="b">
        <v>0</v>
      </c>
      <c r="G116" s="370"/>
      <c r="H116" s="74"/>
      <c r="I116" s="230"/>
      <c r="J116" s="230"/>
      <c r="K116" s="230"/>
      <c r="L116" s="224"/>
      <c r="M116" s="224"/>
      <c r="N116" s="230"/>
      <c r="P116" s="333"/>
      <c r="S116" s="333"/>
    </row>
    <row r="117" spans="2:19" ht="30.6" customHeight="1">
      <c r="B117" s="396"/>
      <c r="C117" s="332" t="s">
        <v>325</v>
      </c>
      <c r="D117" s="332"/>
      <c r="E117" s="332"/>
      <c r="F117" s="370" t="b">
        <v>0</v>
      </c>
      <c r="G117" s="370"/>
      <c r="H117" s="74"/>
      <c r="I117" s="230"/>
      <c r="J117" s="230"/>
      <c r="K117" s="230"/>
      <c r="L117" s="224"/>
      <c r="M117" s="224"/>
      <c r="N117" s="230"/>
      <c r="P117" s="333"/>
      <c r="S117" s="333"/>
    </row>
    <row r="118" spans="2:19" ht="30.6" customHeight="1">
      <c r="B118" s="396"/>
      <c r="C118" s="332" t="s">
        <v>326</v>
      </c>
      <c r="D118" s="332"/>
      <c r="E118" s="332"/>
      <c r="F118" s="370" t="b">
        <v>0</v>
      </c>
      <c r="G118" s="370"/>
      <c r="H118" s="74"/>
      <c r="I118" s="230"/>
      <c r="J118" s="230"/>
      <c r="K118" s="230"/>
      <c r="L118" s="224"/>
      <c r="M118" s="224"/>
      <c r="N118" s="230"/>
      <c r="P118" s="333"/>
      <c r="S118" s="333"/>
    </row>
    <row r="119" spans="2:19" ht="30.6" customHeight="1">
      <c r="B119" s="396"/>
      <c r="C119" s="332" t="s">
        <v>327</v>
      </c>
      <c r="D119" s="332"/>
      <c r="E119" s="332"/>
      <c r="F119" s="370" t="b">
        <v>0</v>
      </c>
      <c r="G119" s="370"/>
      <c r="H119" s="74"/>
      <c r="I119" s="230"/>
      <c r="J119" s="230"/>
      <c r="K119" s="230"/>
      <c r="L119" s="224"/>
      <c r="M119" s="224"/>
      <c r="N119" s="230"/>
      <c r="P119" s="333"/>
      <c r="S119" s="333"/>
    </row>
    <row r="120" spans="2:19" ht="30.6" customHeight="1">
      <c r="B120" s="401"/>
      <c r="C120" s="332" t="s">
        <v>328</v>
      </c>
      <c r="D120" s="332"/>
      <c r="E120" s="332"/>
      <c r="F120" s="370" t="b">
        <v>0</v>
      </c>
      <c r="G120" s="370"/>
      <c r="H120" s="74"/>
      <c r="I120" s="230"/>
      <c r="J120" s="230"/>
      <c r="K120" s="230"/>
      <c r="L120" s="224"/>
      <c r="M120" s="224"/>
      <c r="N120" s="230"/>
      <c r="P120" s="333"/>
      <c r="S120" s="333"/>
    </row>
    <row r="121" spans="2:19" ht="51" customHeight="1">
      <c r="B121" s="395">
        <v>10</v>
      </c>
      <c r="C121" s="424" t="s">
        <v>329</v>
      </c>
      <c r="D121" s="424"/>
      <c r="E121" s="425"/>
      <c r="F121" s="434"/>
      <c r="G121" s="434"/>
      <c r="H121" s="116"/>
      <c r="I121" s="274" t="str">
        <f>IF(F121="No", "Failure to follow data sharing principles when disclosing data to external parties increases the risk of unauthorized processing, data breaches, and violations of data subjects' rights. ", "")</f>
        <v/>
      </c>
      <c r="J121" s="274" t="str">
        <f>IF(F121="No", "Failure to implement reasonable and appropriate security measures – Organizational 
[If based on consent] Unlawful Processing - Unauthorized Disclosure  ","")</f>
        <v/>
      </c>
      <c r="K121" s="274" t="str">
        <f>IF(F121="No", "SEC. 20, DPA
SEC. 32, DPA  ", "")</f>
        <v/>
      </c>
      <c r="L121" s="386" t="str">
        <f>IF(AND(F121="No", COUNTIF(F122:G126, "False")&gt;4), 4, IF(AND(F121="No",  'P1 Threshold Analysis'!D5="Yes", COUNTIF(F122:G126, "True")&gt;0), 4, IF(AND(F121="No", 'P1 Threshold Analysis'!D5="No",COUNTIF(F122:G126, "True")&gt;0), 3, "")))</f>
        <v/>
      </c>
      <c r="M121" s="386" t="str">
        <f>IF(AND(F121="No", COUNTIF(F122:G126, "False")&gt;4), 4, IF(AND(F121="No",  'P1 Threshold Analysis'!D5="Yes", COUNTIF(F122:G126, "True")&gt;0), 4, IF(AND(F121="No", 'P1 Threshold Analysis'!D5="No",COUNTIF(F122:G126, "True")&gt;0), 3, "")))</f>
        <v/>
      </c>
      <c r="N121" s="274" t="str">
        <f>IF(OR(L121="", M121=""), "",
 IF(L121*M121&gt;=10, IF(L121*M121&lt;=16, "High Risk", ""),
 IF(L121*M121&gt;=6, IF(L121*M121&lt;=9, "Medium Risk", ""),
 IF(L121*M121&gt;=2, IF(L121*M121&lt;=4, "Low Risk", ""),
 IF(L121*M121=1, "Negligible", "")))))</f>
        <v/>
      </c>
      <c r="P121" s="333"/>
      <c r="S121" s="333"/>
    </row>
    <row r="122" spans="2:19" ht="39" customHeight="1">
      <c r="B122" s="396"/>
      <c r="C122" s="416" t="s">
        <v>330</v>
      </c>
      <c r="D122" s="416"/>
      <c r="E122" s="416"/>
      <c r="F122" s="410" t="b">
        <v>0</v>
      </c>
      <c r="G122" s="410"/>
      <c r="H122" s="74"/>
      <c r="I122" s="357"/>
      <c r="J122" s="357"/>
      <c r="K122" s="357"/>
      <c r="L122" s="388"/>
      <c r="M122" s="388"/>
      <c r="N122" s="357"/>
      <c r="P122" s="333"/>
      <c r="S122" s="333"/>
    </row>
    <row r="123" spans="2:19" ht="20.45" customHeight="1">
      <c r="B123" s="396"/>
      <c r="C123" s="416" t="s">
        <v>331</v>
      </c>
      <c r="D123" s="416"/>
      <c r="E123" s="416"/>
      <c r="F123" s="370" t="b">
        <v>0</v>
      </c>
      <c r="G123" s="370"/>
      <c r="H123" s="74"/>
      <c r="I123" s="357"/>
      <c r="J123" s="357"/>
      <c r="K123" s="357"/>
      <c r="L123" s="388"/>
      <c r="M123" s="388"/>
      <c r="N123" s="357"/>
      <c r="P123" s="333"/>
      <c r="S123" s="333"/>
    </row>
    <row r="124" spans="2:19" ht="28.5" customHeight="1">
      <c r="B124" s="396"/>
      <c r="C124" s="416" t="s">
        <v>332</v>
      </c>
      <c r="D124" s="416"/>
      <c r="E124" s="416"/>
      <c r="F124" s="370" t="b">
        <v>0</v>
      </c>
      <c r="G124" s="370"/>
      <c r="H124" s="74"/>
      <c r="I124" s="357"/>
      <c r="J124" s="357"/>
      <c r="K124" s="357"/>
      <c r="L124" s="388"/>
      <c r="M124" s="388"/>
      <c r="N124" s="357"/>
      <c r="P124" s="333"/>
      <c r="S124" s="333"/>
    </row>
    <row r="125" spans="2:19" ht="32.25" customHeight="1">
      <c r="B125" s="396"/>
      <c r="C125" s="416" t="s">
        <v>333</v>
      </c>
      <c r="D125" s="416"/>
      <c r="E125" s="416"/>
      <c r="F125" s="370" t="b">
        <v>0</v>
      </c>
      <c r="G125" s="370"/>
      <c r="H125" s="74"/>
      <c r="I125" s="357"/>
      <c r="J125" s="357"/>
      <c r="K125" s="357"/>
      <c r="L125" s="388"/>
      <c r="M125" s="388"/>
      <c r="N125" s="357"/>
      <c r="P125" s="333"/>
      <c r="S125" s="333"/>
    </row>
    <row r="126" spans="2:19" ht="41.25" customHeight="1">
      <c r="B126" s="396"/>
      <c r="C126" s="416" t="s">
        <v>334</v>
      </c>
      <c r="D126" s="416"/>
      <c r="E126" s="416"/>
      <c r="F126" s="370" t="b">
        <v>0</v>
      </c>
      <c r="G126" s="370"/>
      <c r="H126" s="74"/>
      <c r="I126" s="275"/>
      <c r="J126" s="275"/>
      <c r="K126" s="275"/>
      <c r="L126" s="387"/>
      <c r="M126" s="387"/>
      <c r="N126" s="275"/>
      <c r="P126" s="333"/>
      <c r="S126" s="333"/>
    </row>
    <row r="127" spans="2:19" ht="28.5" customHeight="1">
      <c r="B127" s="401"/>
      <c r="C127" s="427" t="s">
        <v>335</v>
      </c>
      <c r="D127" s="428"/>
      <c r="E127" s="428"/>
      <c r="F127" s="428"/>
      <c r="G127" s="428"/>
      <c r="H127" s="428"/>
      <c r="I127" s="428"/>
      <c r="J127" s="428"/>
      <c r="K127" s="428"/>
      <c r="L127" s="428"/>
      <c r="M127" s="428"/>
      <c r="N127" s="429"/>
    </row>
    <row r="128" spans="2:19" ht="27" customHeight="1">
      <c r="B128" s="430" t="s">
        <v>336</v>
      </c>
      <c r="C128" s="431"/>
      <c r="D128" s="431"/>
      <c r="E128" s="431"/>
      <c r="F128" s="431"/>
      <c r="G128" s="431"/>
      <c r="H128" s="365"/>
      <c r="I128" s="365"/>
      <c r="J128" s="365"/>
      <c r="K128" s="365"/>
      <c r="L128" s="365"/>
      <c r="M128" s="365"/>
      <c r="N128" s="432"/>
    </row>
    <row r="129" spans="2:19" ht="39.75" customHeight="1">
      <c r="B129" s="395">
        <v>1</v>
      </c>
      <c r="C129" s="334" t="s">
        <v>337</v>
      </c>
      <c r="D129" s="334"/>
      <c r="E129" s="334"/>
      <c r="F129" s="420"/>
      <c r="G129" s="426"/>
      <c r="H129" s="105"/>
      <c r="I129" s="230" t="str">
        <f>IF(F129="No", "Lack of monitoring and access controls in processing areas increases the risk of unauthorized access, data theft, or tampering with personal data systems. ", "")</f>
        <v/>
      </c>
      <c r="J129" s="230" t="str">
        <f>IF(F129="No", "Failure to implement reasonable and appropriate security measures – Physical 
Personal Data Breach - Availability, Integrity, Confidentiality
Unlawful Processing - Unauthorized Access or Intentional Breach ","")</f>
        <v/>
      </c>
      <c r="K129" s="230" t="str">
        <f>IF(F129="No", "SEC. 20, DPA 
SEC. 29, DPA   ", "")</f>
        <v/>
      </c>
      <c r="L129" s="224" t="str">
        <f>IF(AND(F129="No", COUNTIF(F130:G133, "False")&gt;3), 4, IF(AND(F129="No",  'P1 Threshold Analysis'!D5="Yes", COUNTIF(F130:G133, "True")&gt;0), 4, IF(AND(F129="No", 'P1 Threshold Analysis'!D5="No",COUNTIF(F130:G133, "True")&gt;0), 3, "")))</f>
        <v/>
      </c>
      <c r="M129" s="224" t="str">
        <f>IF(AND(F129="No", COUNTIF(F130:G133, "False")&gt;3), 4, IF(AND(F129="No",  'P1 Threshold Analysis'!D5="Yes", COUNTIF(F130:G133, "True")&gt;0), 4, IF(AND(F129="No", 'P1 Threshold Analysis'!D5="No",COUNTIF(F130:G133, "True")&gt;0), 3, "")))</f>
        <v/>
      </c>
      <c r="N129" s="230" t="str">
        <f>IF(OR(L129="", M129=""), "",
 IF(L129*M129&gt;=10, IF(L129*M129&lt;=16, "High Risk", ""),
 IF(L129*M129&gt;=6, IF(L129*M129&lt;=9, "Medium Risk", ""),
 IF(L129*M129&gt;=2, IF(L129*M129&lt;=4, "Low Risk", ""),
 IF(L129*M129=1, "Negligible", "")))))</f>
        <v/>
      </c>
      <c r="P129" s="333"/>
      <c r="S129" s="333"/>
    </row>
    <row r="130" spans="2:19" ht="39.75" customHeight="1">
      <c r="B130" s="415"/>
      <c r="C130" s="392" t="s">
        <v>338</v>
      </c>
      <c r="D130" s="393"/>
      <c r="E130" s="394"/>
      <c r="F130" s="410" t="b">
        <v>0</v>
      </c>
      <c r="G130" s="414"/>
      <c r="H130" s="74"/>
      <c r="I130" s="230"/>
      <c r="J130" s="230"/>
      <c r="K130" s="230"/>
      <c r="L130" s="224"/>
      <c r="M130" s="224"/>
      <c r="N130" s="230"/>
      <c r="P130" s="333"/>
      <c r="S130" s="333"/>
    </row>
    <row r="131" spans="2:19" ht="39.75" customHeight="1">
      <c r="B131" s="415"/>
      <c r="C131" s="417" t="s">
        <v>339</v>
      </c>
      <c r="D131" s="418"/>
      <c r="E131" s="419"/>
      <c r="F131" s="410" t="b">
        <v>0</v>
      </c>
      <c r="G131" s="414"/>
      <c r="H131" s="74"/>
      <c r="I131" s="230"/>
      <c r="J131" s="230"/>
      <c r="K131" s="230"/>
      <c r="L131" s="224"/>
      <c r="M131" s="224"/>
      <c r="N131" s="230"/>
      <c r="P131" s="333"/>
      <c r="S131" s="333"/>
    </row>
    <row r="132" spans="2:19" ht="39.75" customHeight="1">
      <c r="B132" s="415"/>
      <c r="C132" s="417" t="s">
        <v>340</v>
      </c>
      <c r="D132" s="418"/>
      <c r="E132" s="419"/>
      <c r="F132" s="410" t="b">
        <v>0</v>
      </c>
      <c r="G132" s="414"/>
      <c r="H132" s="74"/>
      <c r="I132" s="230"/>
      <c r="J132" s="230"/>
      <c r="K132" s="230"/>
      <c r="L132" s="224"/>
      <c r="M132" s="224"/>
      <c r="N132" s="230"/>
      <c r="P132" s="333"/>
      <c r="S132" s="333"/>
    </row>
    <row r="133" spans="2:19" ht="105.75" customHeight="1">
      <c r="B133" s="397"/>
      <c r="C133" s="417" t="s">
        <v>341</v>
      </c>
      <c r="D133" s="418"/>
      <c r="E133" s="419"/>
      <c r="F133" s="410" t="b">
        <v>0</v>
      </c>
      <c r="G133" s="414"/>
      <c r="H133" s="74"/>
      <c r="I133" s="230"/>
      <c r="J133" s="230"/>
      <c r="K133" s="230"/>
      <c r="L133" s="224"/>
      <c r="M133" s="224"/>
      <c r="N133" s="230"/>
      <c r="P133" s="333"/>
      <c r="S133" s="333"/>
    </row>
    <row r="134" spans="2:19" ht="181.5" customHeight="1">
      <c r="B134" s="103">
        <v>2</v>
      </c>
      <c r="C134" s="331" t="s">
        <v>342</v>
      </c>
      <c r="D134" s="331"/>
      <c r="E134" s="331"/>
      <c r="F134" s="420"/>
      <c r="G134" s="421"/>
      <c r="H134" s="121"/>
      <c r="I134" s="14" t="str">
        <f>IF(F134="No", "Unclear duties, responsibilities, and schedules can allow unauthorized individuals during data processing, raising the risk of data exposure or misuse. ", "")</f>
        <v/>
      </c>
      <c r="J134" s="14" t="str">
        <f>IF(F134="No", "Failure to implement reasonable and appropriate security measures – Physical 
Personal Data Breach - Availability, Integrity, Confidentiality
Unlawful Processing - Accessing Personal Data Due to Negligence ","")</f>
        <v/>
      </c>
      <c r="K134" s="14" t="str">
        <f>IF(F134="No", "SEC. 20, DPA
SEC. 26, DPA ", "")</f>
        <v/>
      </c>
      <c r="L134" s="12" t="str">
        <f>IF(AND(F134="No", 'P1 Threshold Analysis'!D5="Yes"), 4, IF(AND(F134="No", 'P1 Threshold Analysis'!D4="Yes"),3,""))</f>
        <v/>
      </c>
      <c r="M134" s="12" t="str">
        <f>IF(AND(F134="No", 'P1 Threshold Analysis'!D5="Yes"), 4, IF(AND(F134="No", 'P1 Threshold Analysis'!D4="Yes"),3,""))</f>
        <v/>
      </c>
      <c r="N134" s="14" t="str">
        <f>IF(OR(L134="", M134=""), "",
 IF(L134*M134&gt;=10, IF(L134*M134&lt;=16, "High Risk", ""),
 IF(L134*M134&gt;=6, IF(L134*M134&lt;=9, "Medium Risk", ""),
 IF(L134*M134&gt;=2, IF(L134*M134&lt;=4, "Low Risk", ""),
 IF(L134*M134=1, "Negligible", "")))))</f>
        <v/>
      </c>
      <c r="P134" s="96"/>
      <c r="S134" s="94"/>
    </row>
    <row r="135" spans="2:19" ht="192.75" customHeight="1">
      <c r="B135" s="103">
        <v>3</v>
      </c>
      <c r="C135" s="390" t="s">
        <v>343</v>
      </c>
      <c r="D135" s="390"/>
      <c r="E135" s="390"/>
      <c r="F135" s="408"/>
      <c r="G135" s="423"/>
      <c r="H135" s="81"/>
      <c r="I135" s="14" t="str">
        <f>IF(F135="No", "Without secure procedures for handling physical files and media, there is a higher risk of data leaks, unauthorized access, and loss of personal data.", "")</f>
        <v/>
      </c>
      <c r="J135" s="14" t="str">
        <f>IF(F135="No", "Failure to implement reasonable and appropriate security measures – Physical 
Personal Data Breach - Availability, Integrity, Confidentiality  
Unlawful Processing - Improper Disposal of Personal Data","")</f>
        <v/>
      </c>
      <c r="K135" s="14" t="str">
        <f>IF(F135="No", "SEC. 20, DPA
SEC. 27, DPA ", "")</f>
        <v/>
      </c>
      <c r="L135" s="12" t="str">
        <f>IF(AND(F135="No", 'P1 Threshold Analysis'!D5="Yes"), 4, IF(AND(F135="No", 'P1 Threshold Analysis'!D4="Yes"),3,""))</f>
        <v/>
      </c>
      <c r="M135" s="12" t="str">
        <f>IF(AND(F135="No", 'P1 Threshold Analysis'!D5="Yes"), 4, IF(AND(F135="No", 'P1 Threshold Analysis'!D4="Yes"),3,""))</f>
        <v/>
      </c>
      <c r="N135" s="14" t="str">
        <f>IF(OR(L135="", M135=""), "",
 IF(L135*M135&gt;=10, IF(L135*M135&lt;=16, "High Risk", ""),
 IF(L135*M135&gt;=6, IF(L135*M135&lt;=9, "Medium Risk", ""),
 IF(L135*M135&gt;=2, IF(L135*M135&lt;=4, "Low Risk", ""),
 IF(L135*M135=1, "Negligible", "")))))</f>
        <v/>
      </c>
      <c r="P135" s="96"/>
      <c r="S135" s="96"/>
    </row>
    <row r="136" spans="2:19" ht="48" customHeight="1">
      <c r="B136" s="395">
        <v>4</v>
      </c>
      <c r="C136" s="334" t="s">
        <v>344</v>
      </c>
      <c r="D136" s="334"/>
      <c r="E136" s="334"/>
      <c r="F136" s="336"/>
      <c r="G136" s="336"/>
      <c r="H136" s="117"/>
      <c r="I136" s="274" t="str">
        <f>IF(F136="No", "Lack of measures to protect physical files and equipment from destruction due to disasters, power disturbances, or security threats exposes personal data to loss, damage, or unauthorized access.", "")</f>
        <v/>
      </c>
      <c r="J136" s="274" t="str">
        <f>IF(F136="No", "Failure to implement reasonable and appropriate security measures – Physical 
Personal Data Breach - Availability 
Unlawful Processing - Improper Disposal of Personal Data  ","")</f>
        <v/>
      </c>
      <c r="K136" s="274" t="str">
        <f>IF(F136="No", "SEC. 20, DPA
SEC. 27, DPA ", "")</f>
        <v/>
      </c>
      <c r="L136" s="386" t="str">
        <f>IF(AND(F136="No", 'P1 Threshold Analysis'!D5="Yes"), 4, IF(AND(F136="No", COUNTIF(F137:G142, "FALSE")&gt;0), 3,""))</f>
        <v/>
      </c>
      <c r="M136" s="386" t="str">
        <f>IF(AND(F136="No", 'P1 Threshold Analysis'!D5="Yes"), 4, IF(AND(F136="No", COUNTIF(F137:G142, "FALSE")&gt;0), 3,""))</f>
        <v/>
      </c>
      <c r="N136" s="274" t="str">
        <f>IF(OR(L136="", M136=""), "",
 IF(L136*M136&gt;=10, IF(L136*M136&lt;=16, "High Risk", ""),
 IF(L136*M136&gt;=6, IF(L136*M136&lt;=9, "Medium Risk", ""),
 IF(L136*M136&gt;=2, IF(L136*M136&lt;=4, "Low Risk", ""),
 IF(L136*M136=1, "Negligible", "")))))</f>
        <v/>
      </c>
      <c r="P136" s="333"/>
      <c r="S136" s="333"/>
    </row>
    <row r="137" spans="2:19" ht="46.5" customHeight="1">
      <c r="B137" s="415"/>
      <c r="C137" s="392" t="s">
        <v>345</v>
      </c>
      <c r="D137" s="393"/>
      <c r="E137" s="394"/>
      <c r="F137" s="410" t="b">
        <v>0</v>
      </c>
      <c r="G137" s="410"/>
      <c r="H137" s="121"/>
      <c r="I137" s="357"/>
      <c r="J137" s="357"/>
      <c r="K137" s="357"/>
      <c r="L137" s="388"/>
      <c r="M137" s="388"/>
      <c r="N137" s="357"/>
      <c r="P137" s="333"/>
      <c r="S137" s="333"/>
    </row>
    <row r="138" spans="2:19" ht="55.5" customHeight="1">
      <c r="B138" s="415"/>
      <c r="C138" s="417" t="s">
        <v>346</v>
      </c>
      <c r="D138" s="418"/>
      <c r="E138" s="419"/>
      <c r="F138" s="410" t="b">
        <v>0</v>
      </c>
      <c r="G138" s="410"/>
      <c r="H138" s="78"/>
      <c r="I138" s="357"/>
      <c r="J138" s="357"/>
      <c r="K138" s="357"/>
      <c r="L138" s="388"/>
      <c r="M138" s="388"/>
      <c r="N138" s="357"/>
      <c r="P138" s="333"/>
      <c r="S138" s="333"/>
    </row>
    <row r="139" spans="2:19" ht="31.5" customHeight="1">
      <c r="B139" s="415"/>
      <c r="C139" s="417" t="s">
        <v>347</v>
      </c>
      <c r="D139" s="418"/>
      <c r="E139" s="419"/>
      <c r="F139" s="410" t="b">
        <v>0</v>
      </c>
      <c r="G139" s="410"/>
      <c r="H139" s="78"/>
      <c r="I139" s="357"/>
      <c r="J139" s="357"/>
      <c r="K139" s="357"/>
      <c r="L139" s="388"/>
      <c r="M139" s="388"/>
      <c r="N139" s="357"/>
      <c r="P139" s="333"/>
      <c r="S139" s="333"/>
    </row>
    <row r="140" spans="2:19" ht="54" customHeight="1">
      <c r="B140" s="415"/>
      <c r="C140" s="417" t="s">
        <v>348</v>
      </c>
      <c r="D140" s="418"/>
      <c r="E140" s="419"/>
      <c r="F140" s="410" t="b">
        <v>0</v>
      </c>
      <c r="G140" s="410"/>
      <c r="H140" s="78"/>
      <c r="I140" s="357"/>
      <c r="J140" s="357"/>
      <c r="K140" s="357"/>
      <c r="L140" s="388"/>
      <c r="M140" s="388"/>
      <c r="N140" s="357"/>
      <c r="P140" s="333"/>
      <c r="S140" s="333"/>
    </row>
    <row r="141" spans="2:19" ht="55.5" customHeight="1">
      <c r="B141" s="415"/>
      <c r="C141" s="417" t="s">
        <v>349</v>
      </c>
      <c r="D141" s="418"/>
      <c r="E141" s="419"/>
      <c r="F141" s="410" t="b">
        <v>0</v>
      </c>
      <c r="G141" s="410"/>
      <c r="H141" s="78"/>
      <c r="I141" s="357"/>
      <c r="J141" s="357"/>
      <c r="K141" s="357"/>
      <c r="L141" s="388"/>
      <c r="M141" s="388"/>
      <c r="N141" s="357"/>
      <c r="P141" s="333"/>
      <c r="S141" s="333"/>
    </row>
    <row r="142" spans="2:19" ht="42.75" customHeight="1">
      <c r="B142" s="397"/>
      <c r="C142" s="417" t="s">
        <v>350</v>
      </c>
      <c r="D142" s="418"/>
      <c r="E142" s="419"/>
      <c r="F142" s="410" t="b">
        <v>0</v>
      </c>
      <c r="G142" s="410"/>
      <c r="H142" s="78"/>
      <c r="I142" s="275"/>
      <c r="J142" s="275"/>
      <c r="K142" s="275"/>
      <c r="L142" s="387"/>
      <c r="M142" s="387"/>
      <c r="N142" s="275"/>
      <c r="P142" s="333"/>
      <c r="S142" s="333"/>
    </row>
    <row r="143" spans="2:19" ht="26.25" customHeight="1">
      <c r="B143" s="430" t="s">
        <v>351</v>
      </c>
      <c r="C143" s="431"/>
      <c r="D143" s="431"/>
      <c r="E143" s="431"/>
      <c r="F143" s="431"/>
      <c r="G143" s="431"/>
      <c r="H143" s="431"/>
      <c r="I143" s="431"/>
      <c r="J143" s="431"/>
      <c r="K143" s="431"/>
      <c r="L143" s="431"/>
      <c r="M143" s="431"/>
      <c r="N143" s="433"/>
    </row>
    <row r="144" spans="2:19" ht="43.5" customHeight="1">
      <c r="B144" s="422">
        <v>1</v>
      </c>
      <c r="C144" s="384" t="s">
        <v>352</v>
      </c>
      <c r="D144" s="382"/>
      <c r="E144" s="382"/>
      <c r="F144" s="336"/>
      <c r="G144" s="336"/>
      <c r="H144" s="128"/>
      <c r="I144" s="274" t="str">
        <f>IF(F144="No", "Insufficient safeguards to protect personal data increase the risk of misuse, loss, unauthorized access, alteration, or disclosure, potentially leading to data breaches.", "")</f>
        <v/>
      </c>
      <c r="J144" s="274" t="str">
        <f>IF(F144="No", "Failure to implement reasonable and appropriate security measures – Technical
Personal Data Breach - Availability, Integrity, Confidentiality  
Unlawful Processing - Unauthorized Access or Intentional Breach  ","")</f>
        <v/>
      </c>
      <c r="K144" s="274" t="str">
        <f>IF(F144="No", "SEC. 20, DPA
SEC. 29, DPA ", "")</f>
        <v/>
      </c>
      <c r="L144" s="386" t="str">
        <f>IF(AND(F144="No", COUNTIF(F145:G150, "False")&gt;5), 4, IF(AND(F144="No",  'P1 Threshold Analysis'!D5="Yes", COUNTIF(F145:G150, "True")&gt;0), 4, IF(AND(F144="No", 'P1 Threshold Analysis'!D5="No",COUNTIF(F145:G150, "True")&gt;0), 3, "")))</f>
        <v/>
      </c>
      <c r="M144" s="386" t="str">
        <f>IF(AND(F144="No", COUNTIF(F145:G150, "False")&gt;5), 4, IF(AND(F144="No",  'P1 Threshold Analysis'!D5="Yes", COUNTIF(F145:G150, "True")&gt;0), 4, IF(AND(F144="No", 'P1 Threshold Analysis'!D5="No",COUNTIF(F145:G150, "True")&gt;0), 3, "")))</f>
        <v/>
      </c>
      <c r="N144" s="274" t="str">
        <f>IF(OR(L144="", M144=""), "",
 IF(L144*M144&gt;=10, IF(L144*M144&lt;=16, "High Risk", ""),
 IF(L144*M144&gt;=6, IF(L144*M144&lt;=9, "Medium Risk", ""),
 IF(L144*M144&gt;=2, IF(L144*M144&lt;=4, "Low Risk", ""),
 IF(L144*M144=1, "Negligible", "")))))</f>
        <v/>
      </c>
      <c r="P144" s="333"/>
      <c r="S144" s="333"/>
    </row>
    <row r="145" spans="2:52" ht="93.6" customHeight="1">
      <c r="B145" s="415"/>
      <c r="C145" s="417" t="s">
        <v>353</v>
      </c>
      <c r="D145" s="418"/>
      <c r="E145" s="419"/>
      <c r="F145" s="370" t="b">
        <v>0</v>
      </c>
      <c r="G145" s="370"/>
      <c r="H145" s="78"/>
      <c r="I145" s="357"/>
      <c r="J145" s="357"/>
      <c r="K145" s="357"/>
      <c r="L145" s="388"/>
      <c r="M145" s="388"/>
      <c r="N145" s="357"/>
      <c r="P145" s="333"/>
      <c r="S145" s="333"/>
    </row>
    <row r="146" spans="2:52" ht="44.25" customHeight="1">
      <c r="B146" s="415"/>
      <c r="C146" s="417" t="s">
        <v>354</v>
      </c>
      <c r="D146" s="418"/>
      <c r="E146" s="419"/>
      <c r="F146" s="370" t="b">
        <v>0</v>
      </c>
      <c r="G146" s="370"/>
      <c r="H146" s="78"/>
      <c r="I146" s="357"/>
      <c r="J146" s="357"/>
      <c r="K146" s="357"/>
      <c r="L146" s="388"/>
      <c r="M146" s="388"/>
      <c r="N146" s="357"/>
      <c r="P146" s="333"/>
      <c r="S146" s="333"/>
    </row>
    <row r="147" spans="2:52" ht="43.5" customHeight="1">
      <c r="B147" s="415"/>
      <c r="C147" s="417" t="s">
        <v>355</v>
      </c>
      <c r="D147" s="418"/>
      <c r="E147" s="419"/>
      <c r="F147" s="370" t="b">
        <v>0</v>
      </c>
      <c r="G147" s="370"/>
      <c r="H147" s="78"/>
      <c r="I147" s="357"/>
      <c r="J147" s="357"/>
      <c r="K147" s="357"/>
      <c r="L147" s="388"/>
      <c r="M147" s="388"/>
      <c r="N147" s="357"/>
      <c r="P147" s="333"/>
      <c r="S147" s="333"/>
    </row>
    <row r="148" spans="2:52" ht="43.5" customHeight="1">
      <c r="B148" s="415"/>
      <c r="C148" s="417" t="s">
        <v>356</v>
      </c>
      <c r="D148" s="418"/>
      <c r="E148" s="419"/>
      <c r="F148" s="370" t="b">
        <v>0</v>
      </c>
      <c r="G148" s="370"/>
      <c r="H148" s="78"/>
      <c r="I148" s="357"/>
      <c r="J148" s="357"/>
      <c r="K148" s="357"/>
      <c r="L148" s="388"/>
      <c r="M148" s="388"/>
      <c r="N148" s="357"/>
      <c r="P148" s="333"/>
      <c r="S148" s="333"/>
    </row>
    <row r="149" spans="2:52" ht="30" customHeight="1">
      <c r="B149" s="415"/>
      <c r="C149" s="417" t="s">
        <v>357</v>
      </c>
      <c r="D149" s="418"/>
      <c r="E149" s="419"/>
      <c r="F149" s="370" t="b">
        <v>0</v>
      </c>
      <c r="G149" s="370"/>
      <c r="H149" s="78"/>
      <c r="I149" s="357"/>
      <c r="J149" s="357"/>
      <c r="K149" s="357"/>
      <c r="L149" s="388"/>
      <c r="M149" s="388"/>
      <c r="N149" s="357"/>
      <c r="P149" s="333"/>
      <c r="S149" s="333"/>
    </row>
    <row r="150" spans="2:52" ht="60.75" customHeight="1">
      <c r="B150" s="397"/>
      <c r="C150" s="417" t="s">
        <v>358</v>
      </c>
      <c r="D150" s="418"/>
      <c r="E150" s="419"/>
      <c r="F150" s="370" t="b">
        <v>0</v>
      </c>
      <c r="G150" s="370"/>
      <c r="H150" s="78"/>
      <c r="I150" s="275"/>
      <c r="J150" s="275"/>
      <c r="K150" s="275"/>
      <c r="L150" s="387"/>
      <c r="M150" s="387"/>
      <c r="N150" s="275"/>
      <c r="P150" s="333"/>
      <c r="S150" s="333"/>
    </row>
    <row r="151" spans="2:52" ht="195" customHeight="1">
      <c r="B151" s="103">
        <v>2</v>
      </c>
      <c r="C151" s="331" t="s">
        <v>359</v>
      </c>
      <c r="D151" s="331"/>
      <c r="E151" s="331"/>
      <c r="F151" s="420"/>
      <c r="G151" s="421"/>
      <c r="H151" s="78"/>
      <c r="I151" s="14" t="str">
        <f>IF(F151="No", "Failure to regularly monitor for security breaches and address network vulnerabilities leaves systems exposed to cyberattacks, increasing the likelihood of unauthorized access, data loss, and service disruption. ", "")</f>
        <v/>
      </c>
      <c r="J151" s="14" t="str">
        <f>IF(F151="No", "Failure to implement reasonable and appropriate security measures – Technical
Failure to notify the Commission and affected data subjects of personal  
data breaches
Personal Data Breach - Availability, Integrity, Confidentiality
","")</f>
        <v/>
      </c>
      <c r="K151" s="14" t="str">
        <f>IF(F151="No", "SEC. 20, DPA 
SEC. 30, DPA 
  ", "")</f>
        <v/>
      </c>
      <c r="L151" s="12" t="str">
        <f>IF(AND(F151="No", 'P1 Threshold Analysis'!D5="Yes"), 4, IF(AND(F151="No", 'P1 Threshold Analysis'!D4="Yes"),3,""))</f>
        <v/>
      </c>
      <c r="M151" s="12" t="str">
        <f>IF(AND(F151="No", 'P1 Threshold Analysis'!D5="Yes"), 4, IF(AND(F151="No", 'P1 Threshold Analysis'!D4="Yes"),3,""))</f>
        <v/>
      </c>
      <c r="N151" s="14" t="str">
        <f>IF(OR(L151="", M151=""), "",
 IF(L151*M151&gt;=10, IF(L151*M151&lt;=16, "High Risk", ""),
 IF(L151*M151&gt;=6, IF(L151*M151&lt;=9, "Medium Risk", ""),
 IF(L151*M151&gt;=2, IF(L151*M151&lt;=4, "Low Risk", ""),
 IF(L151*M151=1, "Negligible", "")))))</f>
        <v/>
      </c>
      <c r="P151" s="96"/>
      <c r="S151" s="96"/>
      <c r="AZ151" s="122" t="s">
        <v>360</v>
      </c>
    </row>
    <row r="152" spans="2:52" ht="151.5" customHeight="1">
      <c r="B152" s="103">
        <v>3</v>
      </c>
      <c r="C152" s="331" t="s">
        <v>361</v>
      </c>
      <c r="D152" s="331"/>
      <c r="E152" s="331"/>
      <c r="F152" s="420"/>
      <c r="G152" s="421"/>
      <c r="H152" s="78"/>
      <c r="I152" s="14" t="str">
        <f>IF(F152="No", "The absence of a prompt data recovery mechanism after physical or technical incidents increases the risk of prolonged downtime and unavailability of personal data, potentially disrupting operations and violating data availability obligations.", "")</f>
        <v/>
      </c>
      <c r="J152" s="14" t="str">
        <f>IF(F152="No", "Failure to implement reasonable and appropriate security measures – Technical 
Personal Data Breach - Availability ","")</f>
        <v/>
      </c>
      <c r="K152" s="14" t="str">
        <f>IF(F152="No", "SEC. 20, DPA
  ", "")</f>
        <v/>
      </c>
      <c r="L152" s="12" t="str">
        <f>IF(AND(F152="No", 'P1 Threshold Analysis'!D5="Yes"), 4, IF(AND(F152="No", 'P1 Threshold Analysis'!D4="Yes"),3,""))</f>
        <v/>
      </c>
      <c r="M152" s="12" t="str">
        <f>IF(AND(F152="No", 'P1 Threshold Analysis'!D5="Yes"), 4, IF(AND(F152="No", 'P1 Threshold Analysis'!D4="Yes"),3,""))</f>
        <v/>
      </c>
      <c r="N152" s="14" t="str">
        <f>IF(OR(L152="", M152=""), "",
 IF(L152*M152&gt;=10, IF(L152*M152&lt;=16, "High Risk", ""),
 IF(L152*M152&gt;=6, IF(L152*M152&lt;=9, "Medium Risk", ""),
 IF(L152*M152&gt;=2, IF(L152*M152&lt;=4, "Low Risk", ""),
 IF(L152*M152=1, "Negligible", "")))))</f>
        <v/>
      </c>
      <c r="P152" s="96"/>
      <c r="S152" s="96"/>
    </row>
    <row r="153" spans="2:52" ht="139.5" customHeight="1">
      <c r="B153" s="103">
        <v>4</v>
      </c>
      <c r="C153" s="331" t="s">
        <v>362</v>
      </c>
      <c r="D153" s="331"/>
      <c r="E153" s="331"/>
      <c r="F153" s="420"/>
      <c r="G153" s="421"/>
      <c r="H153" s="78"/>
      <c r="I153" s="14" t="str">
        <f>IF(F153="No", "Without regular testing and evaluation of security measures, weaknesses may go undetected, increasing the risk of security breaches and failure to protect personal data effectively.", "")</f>
        <v/>
      </c>
      <c r="J153" s="14" t="str">
        <f>IF(F153="No", "Failure to implement reasonable and appropriate security measures – Technical
Personal Data Breach - Availability, Integrity, Confidentiality  ","")</f>
        <v/>
      </c>
      <c r="K153" s="14" t="str">
        <f>IF(F153="No", "SEC. 20, DPA
  ", "")</f>
        <v/>
      </c>
      <c r="L153" s="12" t="str">
        <f>IF(AND(F153="No", 'P1 Threshold Analysis'!D5="Yes"), 4, IF(AND(F153="No", 'P1 Threshold Analysis'!D4="Yes"),3,""))</f>
        <v/>
      </c>
      <c r="M153" s="12" t="str">
        <f>IF(AND(F153="No", 'P1 Threshold Analysis'!D5="Yes"), 4, IF(AND(F153="No", 'P1 Threshold Analysis'!D4="Yes"),3,""))</f>
        <v/>
      </c>
      <c r="N153" s="14" t="str">
        <f>IF(OR(L153="", M153=""), "",
 IF(L153*M153&gt;=10, IF(L153*M153&lt;=16, "High Risk", ""),
 IF(L153*M153&gt;=6, IF(L153*M153&lt;=9, "Medium Risk", ""),
 IF(L153*M153&gt;=2, IF(L153*M153&lt;=4, "Low Risk", ""),
 IF(L153*M153=1, "Negligible", "")))))</f>
        <v/>
      </c>
      <c r="P153" s="96"/>
      <c r="S153" s="96"/>
    </row>
  </sheetData>
  <sheetProtection algorithmName="SHA-512" hashValue="2hFtV72DDxG8QXZlWHszLDC0YCtYapnm/KsPJDkhD9somf6srNa2teG8TtWBXvC9H1TFZWv59m5D8UHtqa9dnQ==" saltValue="DincoPU1j53CBHtTfZdsCQ==" spinCount="100000" sheet="1" objects="1" scenarios="1"/>
  <protectedRanges>
    <protectedRange sqref="F4:H12" name="Range1"/>
    <protectedRange sqref="F14:H19" name="Range2"/>
    <protectedRange sqref="F21:H23" name="Range3"/>
    <protectedRange sqref="F25:H32" name="Range4"/>
    <protectedRange sqref="F34:H36" name="Range5"/>
    <protectedRange sqref="F38:H47" name="Range6"/>
    <protectedRange sqref="F49:H51" name="Range7"/>
    <protectedRange sqref="F53:H55" name="Range8"/>
    <protectedRange sqref="F57:H61" name="Range9"/>
    <protectedRange sqref="F64:H69" name="Range10"/>
    <protectedRange sqref="F71:H77" name="Range11"/>
    <protectedRange sqref="F79:H82" name="Range12"/>
    <protectedRange sqref="F84:H89" name="Range13"/>
    <protectedRange sqref="F91:H96" name="Range14"/>
    <protectedRange sqref="F98:H104" name="Range15"/>
    <protectedRange sqref="F106:H110 H112:H120 H122:H126" name="Range16"/>
    <protectedRange sqref="F121:H121 F112:G120 F122:G126" name="Range17"/>
    <protectedRange sqref="F129:H142" name="Range18"/>
    <protectedRange sqref="F144:H153" name="Range19"/>
  </protectedRanges>
  <mergeCells count="365">
    <mergeCell ref="P129:P133"/>
    <mergeCell ref="S129:S133"/>
    <mergeCell ref="P136:P142"/>
    <mergeCell ref="S136:S142"/>
    <mergeCell ref="P144:P150"/>
    <mergeCell ref="S144:S150"/>
    <mergeCell ref="P6:P11"/>
    <mergeCell ref="S6:S11"/>
    <mergeCell ref="I144:I150"/>
    <mergeCell ref="J144:J150"/>
    <mergeCell ref="K144:K150"/>
    <mergeCell ref="L144:L150"/>
    <mergeCell ref="M144:M150"/>
    <mergeCell ref="N144:N150"/>
    <mergeCell ref="I129:I133"/>
    <mergeCell ref="J129:J133"/>
    <mergeCell ref="K129:K133"/>
    <mergeCell ref="L129:L133"/>
    <mergeCell ref="M129:M133"/>
    <mergeCell ref="N129:N133"/>
    <mergeCell ref="I136:I142"/>
    <mergeCell ref="J136:J142"/>
    <mergeCell ref="K136:K142"/>
    <mergeCell ref="L136:L142"/>
    <mergeCell ref="M136:M142"/>
    <mergeCell ref="N136:N142"/>
    <mergeCell ref="I121:I126"/>
    <mergeCell ref="J121:J126"/>
    <mergeCell ref="L121:L126"/>
    <mergeCell ref="K121:K126"/>
    <mergeCell ref="M121:M126"/>
    <mergeCell ref="N121:N126"/>
    <mergeCell ref="C105:H105"/>
    <mergeCell ref="C111:H111"/>
    <mergeCell ref="I104:I120"/>
    <mergeCell ref="J104:J120"/>
    <mergeCell ref="K104:K120"/>
    <mergeCell ref="L104:L120"/>
    <mergeCell ref="M104:M120"/>
    <mergeCell ref="N104:N120"/>
    <mergeCell ref="F120:G120"/>
    <mergeCell ref="F117:G117"/>
    <mergeCell ref="F110:G110"/>
    <mergeCell ref="F109:G109"/>
    <mergeCell ref="F108:G108"/>
    <mergeCell ref="C124:E124"/>
    <mergeCell ref="C125:E125"/>
    <mergeCell ref="F106:G106"/>
    <mergeCell ref="C113:E113"/>
    <mergeCell ref="C52:H52"/>
    <mergeCell ref="C56:H56"/>
    <mergeCell ref="C62:H62"/>
    <mergeCell ref="C63:H63"/>
    <mergeCell ref="C70:H70"/>
    <mergeCell ref="C83:H83"/>
    <mergeCell ref="C90:H90"/>
    <mergeCell ref="C97:H97"/>
    <mergeCell ref="C78:H78"/>
    <mergeCell ref="F54:G54"/>
    <mergeCell ref="C54:E54"/>
    <mergeCell ref="F53:G53"/>
    <mergeCell ref="C77:E77"/>
    <mergeCell ref="F71:G71"/>
    <mergeCell ref="F72:G72"/>
    <mergeCell ref="F73:G73"/>
    <mergeCell ref="F74:G74"/>
    <mergeCell ref="F75:G75"/>
    <mergeCell ref="F76:G76"/>
    <mergeCell ref="F77:G77"/>
    <mergeCell ref="C72:E72"/>
    <mergeCell ref="C73:E73"/>
    <mergeCell ref="C74:E74"/>
    <mergeCell ref="C75:E75"/>
    <mergeCell ref="C37:H37"/>
    <mergeCell ref="C33:H33"/>
    <mergeCell ref="C48:H48"/>
    <mergeCell ref="I32:I50"/>
    <mergeCell ref="J32:J50"/>
    <mergeCell ref="K32:K50"/>
    <mergeCell ref="L32:L50"/>
    <mergeCell ref="M32:M50"/>
    <mergeCell ref="C68:E68"/>
    <mergeCell ref="C69:E69"/>
    <mergeCell ref="F61:G61"/>
    <mergeCell ref="C57:E57"/>
    <mergeCell ref="C58:E58"/>
    <mergeCell ref="C59:E59"/>
    <mergeCell ref="C60:E60"/>
    <mergeCell ref="C61:E61"/>
    <mergeCell ref="F57:G57"/>
    <mergeCell ref="F58:G58"/>
    <mergeCell ref="F59:G59"/>
    <mergeCell ref="F60:G60"/>
    <mergeCell ref="F64:G64"/>
    <mergeCell ref="F65:G65"/>
    <mergeCell ref="N32:N50"/>
    <mergeCell ref="I51:I103"/>
    <mergeCell ref="J51:J103"/>
    <mergeCell ref="K51:K103"/>
    <mergeCell ref="L51:L103"/>
    <mergeCell ref="M51:M103"/>
    <mergeCell ref="N51:N103"/>
    <mergeCell ref="I12:I29"/>
    <mergeCell ref="J12:J29"/>
    <mergeCell ref="K12:K29"/>
    <mergeCell ref="L12:L29"/>
    <mergeCell ref="M12:M29"/>
    <mergeCell ref="N12:N29"/>
    <mergeCell ref="I6:I11"/>
    <mergeCell ref="J6:J11"/>
    <mergeCell ref="K6:K11"/>
    <mergeCell ref="L6:L11"/>
    <mergeCell ref="M6:M11"/>
    <mergeCell ref="N6:N11"/>
    <mergeCell ref="C127:N127"/>
    <mergeCell ref="B128:N128"/>
    <mergeCell ref="B143:N143"/>
    <mergeCell ref="F121:G121"/>
    <mergeCell ref="C79:E79"/>
    <mergeCell ref="C80:E80"/>
    <mergeCell ref="C81:E81"/>
    <mergeCell ref="C82:E82"/>
    <mergeCell ref="F79:G79"/>
    <mergeCell ref="F80:G80"/>
    <mergeCell ref="F81:G81"/>
    <mergeCell ref="F82:G82"/>
    <mergeCell ref="C64:E64"/>
    <mergeCell ref="C65:E65"/>
    <mergeCell ref="F104:G104"/>
    <mergeCell ref="C66:E66"/>
    <mergeCell ref="F55:G55"/>
    <mergeCell ref="C55:E55"/>
    <mergeCell ref="B2:N2"/>
    <mergeCell ref="B12:B29"/>
    <mergeCell ref="C49:E49"/>
    <mergeCell ref="F44:G44"/>
    <mergeCell ref="F45:G45"/>
    <mergeCell ref="F46:G46"/>
    <mergeCell ref="F47:G47"/>
    <mergeCell ref="F39:G39"/>
    <mergeCell ref="F40:G40"/>
    <mergeCell ref="F41:G41"/>
    <mergeCell ref="F42:G42"/>
    <mergeCell ref="F43:G43"/>
    <mergeCell ref="C47:E47"/>
    <mergeCell ref="C39:E39"/>
    <mergeCell ref="C40:E40"/>
    <mergeCell ref="C38:E38"/>
    <mergeCell ref="B32:B50"/>
    <mergeCell ref="C12:E12"/>
    <mergeCell ref="F12:G12"/>
    <mergeCell ref="C19:E19"/>
    <mergeCell ref="F19:G19"/>
    <mergeCell ref="F18:G18"/>
    <mergeCell ref="F7:G7"/>
    <mergeCell ref="F8:G8"/>
    <mergeCell ref="C76:E76"/>
    <mergeCell ref="F66:G66"/>
    <mergeCell ref="F67:G67"/>
    <mergeCell ref="F68:G68"/>
    <mergeCell ref="F69:G69"/>
    <mergeCell ref="C115:E115"/>
    <mergeCell ref="C119:E119"/>
    <mergeCell ref="C106:E106"/>
    <mergeCell ref="C107:E107"/>
    <mergeCell ref="C108:E108"/>
    <mergeCell ref="C109:E109"/>
    <mergeCell ref="C110:E110"/>
    <mergeCell ref="F94:G94"/>
    <mergeCell ref="F95:G95"/>
    <mergeCell ref="C84:E84"/>
    <mergeCell ref="C104:E104"/>
    <mergeCell ref="C94:E94"/>
    <mergeCell ref="F92:G92"/>
    <mergeCell ref="F101:G101"/>
    <mergeCell ref="C98:E98"/>
    <mergeCell ref="C101:E101"/>
    <mergeCell ref="C112:E112"/>
    <mergeCell ref="F119:G119"/>
    <mergeCell ref="F118:G118"/>
    <mergeCell ref="F136:G136"/>
    <mergeCell ref="C144:E144"/>
    <mergeCell ref="F144:G144"/>
    <mergeCell ref="F134:G134"/>
    <mergeCell ref="C135:E135"/>
    <mergeCell ref="F135:G135"/>
    <mergeCell ref="F132:G132"/>
    <mergeCell ref="F133:G133"/>
    <mergeCell ref="F107:G107"/>
    <mergeCell ref="C126:E126"/>
    <mergeCell ref="F126:G126"/>
    <mergeCell ref="F125:G125"/>
    <mergeCell ref="F124:G124"/>
    <mergeCell ref="F123:G123"/>
    <mergeCell ref="F122:G122"/>
    <mergeCell ref="C121:E121"/>
    <mergeCell ref="C118:E118"/>
    <mergeCell ref="C129:E129"/>
    <mergeCell ref="F129:G129"/>
    <mergeCell ref="F116:G116"/>
    <mergeCell ref="F115:G115"/>
    <mergeCell ref="F114:G114"/>
    <mergeCell ref="F113:G113"/>
    <mergeCell ref="F112:G112"/>
    <mergeCell ref="F151:G151"/>
    <mergeCell ref="F152:G152"/>
    <mergeCell ref="F153:G153"/>
    <mergeCell ref="F137:G137"/>
    <mergeCell ref="F138:G138"/>
    <mergeCell ref="F139:G139"/>
    <mergeCell ref="F140:G140"/>
    <mergeCell ref="F141:G141"/>
    <mergeCell ref="B144:B150"/>
    <mergeCell ref="C145:E145"/>
    <mergeCell ref="C146:E146"/>
    <mergeCell ref="C147:E147"/>
    <mergeCell ref="C148:E148"/>
    <mergeCell ref="C149:E149"/>
    <mergeCell ref="C150:E150"/>
    <mergeCell ref="F145:G145"/>
    <mergeCell ref="F146:G146"/>
    <mergeCell ref="F147:G147"/>
    <mergeCell ref="F148:G148"/>
    <mergeCell ref="F149:G149"/>
    <mergeCell ref="F150:G150"/>
    <mergeCell ref="F142:G142"/>
    <mergeCell ref="C137:E137"/>
    <mergeCell ref="C151:E151"/>
    <mergeCell ref="B136:B142"/>
    <mergeCell ref="C138:E138"/>
    <mergeCell ref="C139:E139"/>
    <mergeCell ref="C140:E140"/>
    <mergeCell ref="C141:E141"/>
    <mergeCell ref="C142:E142"/>
    <mergeCell ref="C131:E131"/>
    <mergeCell ref="C132:E132"/>
    <mergeCell ref="C133:E133"/>
    <mergeCell ref="C134:E134"/>
    <mergeCell ref="C136:E136"/>
    <mergeCell ref="B121:B127"/>
    <mergeCell ref="F130:G130"/>
    <mergeCell ref="F131:G131"/>
    <mergeCell ref="B129:B133"/>
    <mergeCell ref="C122:E122"/>
    <mergeCell ref="C123:E123"/>
    <mergeCell ref="F89:G89"/>
    <mergeCell ref="F102:G102"/>
    <mergeCell ref="C99:E99"/>
    <mergeCell ref="C89:E89"/>
    <mergeCell ref="C91:E91"/>
    <mergeCell ref="C92:E92"/>
    <mergeCell ref="C93:E93"/>
    <mergeCell ref="F96:G96"/>
    <mergeCell ref="C95:E95"/>
    <mergeCell ref="C96:E96"/>
    <mergeCell ref="F91:G91"/>
    <mergeCell ref="F93:G93"/>
    <mergeCell ref="F98:G98"/>
    <mergeCell ref="F99:G99"/>
    <mergeCell ref="F100:G100"/>
    <mergeCell ref="C102:E102"/>
    <mergeCell ref="F103:G103"/>
    <mergeCell ref="C117:E117"/>
    <mergeCell ref="F9:G9"/>
    <mergeCell ref="F10:G10"/>
    <mergeCell ref="F11:G11"/>
    <mergeCell ref="F27:G27"/>
    <mergeCell ref="F28:G28"/>
    <mergeCell ref="F29:G29"/>
    <mergeCell ref="F30:G30"/>
    <mergeCell ref="F21:G21"/>
    <mergeCell ref="F22:G22"/>
    <mergeCell ref="F23:G23"/>
    <mergeCell ref="F25:G25"/>
    <mergeCell ref="F26:G26"/>
    <mergeCell ref="F14:G14"/>
    <mergeCell ref="C13:H13"/>
    <mergeCell ref="C20:H20"/>
    <mergeCell ref="C24:H24"/>
    <mergeCell ref="F15:G15"/>
    <mergeCell ref="F16:G16"/>
    <mergeCell ref="F17:G17"/>
    <mergeCell ref="F31:G31"/>
    <mergeCell ref="C86:E86"/>
    <mergeCell ref="C87:E87"/>
    <mergeCell ref="C88:E88"/>
    <mergeCell ref="F85:G85"/>
    <mergeCell ref="C42:E42"/>
    <mergeCell ref="C43:E43"/>
    <mergeCell ref="C44:E44"/>
    <mergeCell ref="C45:E45"/>
    <mergeCell ref="C46:E46"/>
    <mergeCell ref="F38:G38"/>
    <mergeCell ref="C32:E32"/>
    <mergeCell ref="F32:G32"/>
    <mergeCell ref="F84:G84"/>
    <mergeCell ref="F86:G86"/>
    <mergeCell ref="F87:G87"/>
    <mergeCell ref="F88:G88"/>
    <mergeCell ref="C85:E85"/>
    <mergeCell ref="C53:E53"/>
    <mergeCell ref="C71:E71"/>
    <mergeCell ref="C41:E41"/>
    <mergeCell ref="C51:E51"/>
    <mergeCell ref="F51:G51"/>
    <mergeCell ref="C67:E67"/>
    <mergeCell ref="B51:B103"/>
    <mergeCell ref="C103:E103"/>
    <mergeCell ref="C100:E100"/>
    <mergeCell ref="B104:B120"/>
    <mergeCell ref="F34:G34"/>
    <mergeCell ref="F35:G35"/>
    <mergeCell ref="F36:G36"/>
    <mergeCell ref="C3:E3"/>
    <mergeCell ref="C4:E4"/>
    <mergeCell ref="B6:B11"/>
    <mergeCell ref="C7:E7"/>
    <mergeCell ref="C8:E8"/>
    <mergeCell ref="C9:E9"/>
    <mergeCell ref="C10:E10"/>
    <mergeCell ref="C11:E11"/>
    <mergeCell ref="F3:G3"/>
    <mergeCell ref="F4:G4"/>
    <mergeCell ref="F5:G5"/>
    <mergeCell ref="C5:E5"/>
    <mergeCell ref="C6:E6"/>
    <mergeCell ref="F6:G6"/>
    <mergeCell ref="F49:G49"/>
    <mergeCell ref="F50:G50"/>
    <mergeCell ref="C18:E18"/>
    <mergeCell ref="C152:E152"/>
    <mergeCell ref="C153:E153"/>
    <mergeCell ref="C14:E14"/>
    <mergeCell ref="C22:E22"/>
    <mergeCell ref="C27:E27"/>
    <mergeCell ref="C28:E28"/>
    <mergeCell ref="C34:E34"/>
    <mergeCell ref="C35:E35"/>
    <mergeCell ref="C36:E36"/>
    <mergeCell ref="C29:E29"/>
    <mergeCell ref="C25:E25"/>
    <mergeCell ref="C26:E26"/>
    <mergeCell ref="C15:E15"/>
    <mergeCell ref="C16:E16"/>
    <mergeCell ref="C17:E17"/>
    <mergeCell ref="C30:E30"/>
    <mergeCell ref="C31:E31"/>
    <mergeCell ref="C21:E21"/>
    <mergeCell ref="C23:E23"/>
    <mergeCell ref="C116:E116"/>
    <mergeCell ref="C50:E50"/>
    <mergeCell ref="C120:E120"/>
    <mergeCell ref="C130:E130"/>
    <mergeCell ref="C114:E114"/>
    <mergeCell ref="P121:P126"/>
    <mergeCell ref="S121:S126"/>
    <mergeCell ref="P12:P29"/>
    <mergeCell ref="R12:R29"/>
    <mergeCell ref="S12:S29"/>
    <mergeCell ref="P32:P50"/>
    <mergeCell ref="S32:S50"/>
    <mergeCell ref="P51:P103"/>
    <mergeCell ref="S51:S103"/>
    <mergeCell ref="P104:P120"/>
    <mergeCell ref="S104:S120"/>
  </mergeCells>
  <conditionalFormatting sqref="F106:H110">
    <cfRule type="expression" dxfId="91" priority="8">
      <formula>UPPER($F$104)="N/A"</formula>
    </cfRule>
  </conditionalFormatting>
  <conditionalFormatting sqref="F112:H120">
    <cfRule type="expression" dxfId="90" priority="6">
      <formula>UPPER($F$104)="N/A"</formula>
    </cfRule>
  </conditionalFormatting>
  <conditionalFormatting sqref="F122:H126">
    <cfRule type="expression" dxfId="89" priority="4">
      <formula>UPPER($F$121)="N/A"</formula>
    </cfRule>
  </conditionalFormatting>
  <conditionalFormatting sqref="N4:N6">
    <cfRule type="containsText" dxfId="88" priority="41" operator="containsText" text="High">
      <formula>NOT(ISERROR(SEARCH("High",N4)))</formula>
    </cfRule>
    <cfRule type="containsText" dxfId="87" priority="40" operator="containsText" text="Low">
      <formula>NOT(ISERROR(SEARCH("Low",N4)))</formula>
    </cfRule>
    <cfRule type="containsText" dxfId="86" priority="39" operator="containsText" text="Medium">
      <formula>NOT(ISERROR(SEARCH("Medium",N4)))</formula>
    </cfRule>
  </conditionalFormatting>
  <conditionalFormatting sqref="N12">
    <cfRule type="containsText" dxfId="85" priority="32" operator="containsText" text="High">
      <formula>NOT(ISERROR(SEARCH("High",N12)))</formula>
    </cfRule>
    <cfRule type="containsText" dxfId="84" priority="31" operator="containsText" text="Low">
      <formula>NOT(ISERROR(SEARCH("Low",N12)))</formula>
    </cfRule>
    <cfRule type="containsText" dxfId="83" priority="30" operator="containsText" text="Medium">
      <formula>NOT(ISERROR(SEARCH("Medium",N12)))</formula>
    </cfRule>
  </conditionalFormatting>
  <conditionalFormatting sqref="N30:N32">
    <cfRule type="containsText" dxfId="82" priority="35" operator="containsText" text="High">
      <formula>NOT(ISERROR(SEARCH("High",N30)))</formula>
    </cfRule>
    <cfRule type="containsText" dxfId="81" priority="34" operator="containsText" text="Low">
      <formula>NOT(ISERROR(SEARCH("Low",N30)))</formula>
    </cfRule>
    <cfRule type="containsText" dxfId="80" priority="33" operator="containsText" text="Medium">
      <formula>NOT(ISERROR(SEARCH("Medium",N30)))</formula>
    </cfRule>
  </conditionalFormatting>
  <conditionalFormatting sqref="N51">
    <cfRule type="containsText" dxfId="79" priority="29" operator="containsText" text="High">
      <formula>NOT(ISERROR(SEARCH("High",N51)))</formula>
    </cfRule>
    <cfRule type="containsText" dxfId="78" priority="28" operator="containsText" text="Low">
      <formula>NOT(ISERROR(SEARCH("Low",N51)))</formula>
    </cfRule>
    <cfRule type="containsText" dxfId="77" priority="27" operator="containsText" text="Medium">
      <formula>NOT(ISERROR(SEARCH("Medium",N51)))</formula>
    </cfRule>
  </conditionalFormatting>
  <conditionalFormatting sqref="N104">
    <cfRule type="containsText" dxfId="76" priority="26" operator="containsText" text="High">
      <formula>NOT(ISERROR(SEARCH("High",N104)))</formula>
    </cfRule>
    <cfRule type="containsText" dxfId="75" priority="25" operator="containsText" text="Low">
      <formula>NOT(ISERROR(SEARCH("Low",N104)))</formula>
    </cfRule>
    <cfRule type="containsText" dxfId="74" priority="24" operator="containsText" text="Medium">
      <formula>NOT(ISERROR(SEARCH("Medium",N104)))</formula>
    </cfRule>
  </conditionalFormatting>
  <conditionalFormatting sqref="N121">
    <cfRule type="containsText" dxfId="73" priority="21" operator="containsText" text="Medium">
      <formula>NOT(ISERROR(SEARCH("Medium",N121)))</formula>
    </cfRule>
    <cfRule type="containsText" dxfId="72" priority="22" operator="containsText" text="Low">
      <formula>NOT(ISERROR(SEARCH("Low",N121)))</formula>
    </cfRule>
    <cfRule type="containsText" dxfId="71" priority="23" operator="containsText" text="High">
      <formula>NOT(ISERROR(SEARCH("High",N121)))</formula>
    </cfRule>
  </conditionalFormatting>
  <conditionalFormatting sqref="N129">
    <cfRule type="containsText" dxfId="70" priority="20" operator="containsText" text="High">
      <formula>NOT(ISERROR(SEARCH("High",N129)))</formula>
    </cfRule>
    <cfRule type="containsText" dxfId="69" priority="19" operator="containsText" text="Low">
      <formula>NOT(ISERROR(SEARCH("Low",N129)))</formula>
    </cfRule>
    <cfRule type="containsText" dxfId="68" priority="18" operator="containsText" text="Medium">
      <formula>NOT(ISERROR(SEARCH("Medium",N129)))</formula>
    </cfRule>
  </conditionalFormatting>
  <conditionalFormatting sqref="N134:N136">
    <cfRule type="containsText" dxfId="67" priority="17" operator="containsText" text="High">
      <formula>NOT(ISERROR(SEARCH("High",N134)))</formula>
    </cfRule>
    <cfRule type="containsText" dxfId="66" priority="16" operator="containsText" text="Low">
      <formula>NOT(ISERROR(SEARCH("Low",N134)))</formula>
    </cfRule>
    <cfRule type="containsText" dxfId="65" priority="15" operator="containsText" text="Medium">
      <formula>NOT(ISERROR(SEARCH("Medium",N134)))</formula>
    </cfRule>
  </conditionalFormatting>
  <conditionalFormatting sqref="N144">
    <cfRule type="containsText" dxfId="64" priority="14" operator="containsText" text="High">
      <formula>NOT(ISERROR(SEARCH("High",N144)))</formula>
    </cfRule>
    <cfRule type="containsText" dxfId="63" priority="13" operator="containsText" text="Low">
      <formula>NOT(ISERROR(SEARCH("Low",N144)))</formula>
    </cfRule>
    <cfRule type="containsText" dxfId="62" priority="12" operator="containsText" text="Medium">
      <formula>NOT(ISERROR(SEARCH("Medium",N144)))</formula>
    </cfRule>
  </conditionalFormatting>
  <conditionalFormatting sqref="N151:N153">
    <cfRule type="containsText" dxfId="61" priority="11" operator="containsText" text="High">
      <formula>NOT(ISERROR(SEARCH("High",N151)))</formula>
    </cfRule>
    <cfRule type="containsText" dxfId="60" priority="10" operator="containsText" text="Low">
      <formula>NOT(ISERROR(SEARCH("Low",N151)))</formula>
    </cfRule>
    <cfRule type="containsText" dxfId="59" priority="9" operator="containsText" text="Medium">
      <formula>NOT(ISERROR(SEARCH("Medium",N151)))</formula>
    </cfRule>
  </conditionalFormatting>
  <conditionalFormatting sqref="O3:W3">
    <cfRule type="containsText" dxfId="58" priority="3" operator="containsText" text="Low">
      <formula>NOT(ISERROR(SEARCH("Low",O3)))</formula>
    </cfRule>
    <cfRule type="containsText" dxfId="57" priority="2" operator="containsText" text="Medium ">
      <formula>NOT(ISERROR(SEARCH("Medium ",O3)))</formula>
    </cfRule>
    <cfRule type="containsText" dxfId="56" priority="1" operator="containsText" text="High">
      <formula>NOT(ISERROR(SEARCH("High",O3)))</formula>
    </cfRule>
  </conditionalFormatting>
  <dataValidations count="7">
    <dataValidation type="list" allowBlank="1" showInputMessage="1" showErrorMessage="1" prompt="Choose the applicable option from the dropdown" sqref="F104 F121" xr:uid="{772DA314-DA3F-4B40-97F4-48010076BEF5}">
      <formula1>"Yes, No, N/A"</formula1>
    </dataValidation>
    <dataValidation type="list" allowBlank="1" showInputMessage="1" showErrorMessage="1" prompt="Choose the applicable option from the dropdown" sqref="F4:G6 F30:G32 F134:G136 F12:G12 F151:G153 F51:G51 F129:G129 F144:G144" xr:uid="{47232DF2-62E1-49C3-8B3D-18B4857EEFFF}">
      <formula1>"Yes,No"</formula1>
    </dataValidation>
    <dataValidation allowBlank="1" showInputMessage="1" showErrorMessage="1" sqref="F106:G110 F7:G11 F14:G19 F21:G23 F25:G29 F34:G36 F49:G50 F112:G120 F53:G55 F79:G82 F84:G89 F91:G96 F137:G142 F71:G77 F98:G103 F122:G126 F130:G133 F38:G47 F57:G61 F64:G69 F145:G150" xr:uid="{6EEA32AC-21DB-46C5-87EC-47A03C5F0169}"/>
    <dataValidation type="list" showInputMessage="1" showErrorMessage="1" sqref="L144:M153 L129:M142 L4:M5 L12:M50 L104:M126" xr:uid="{5CEC72B3-0415-4E3F-88E9-ACE77718B2E6}">
      <formula1>"1,2,3,4"</formula1>
    </dataValidation>
    <dataValidation type="custom" allowBlank="1" showInputMessage="1" showErrorMessage="1" errorTitle="Not Applicable" error="This field applies only if processing is delegated to a PIP under a outsourcing/subcontracting agreement. Otherwise, enter &quot;N/A&quot; or leave blank." prompt="Enter details only if applicable. Otherwise, enter &quot;N/A&quot; or leave blank." sqref="H106:H110 H112:H120" xr:uid="{D324BF66-AECD-4DBA-AD7F-3C64DBCC5602}">
      <formula1>OR($F$104="Yes", H106="N/A", H106="")</formula1>
    </dataValidation>
    <dataValidation type="custom" allowBlank="1" showInputMessage="1" showErrorMessage="1" errorTitle="Not Applicable" error="This field applies only if processing is delegated to a PIP under a outsourcing/subcontracting agreement. Otherwise, enter &quot;N/A&quot; or leave blank." prompt="Enter details only if applicable. Otherwise, enter &quot;N/A&quot; or leave blank." sqref="H122:H126" xr:uid="{9187BB37-6315-4365-B568-B25B22CAE06F}">
      <formula1>OR($F$121="Yes", H122="N/A", H122="")</formula1>
    </dataValidation>
    <dataValidation type="list" allowBlank="1" showInputMessage="1" showErrorMessage="1" sqref="L6:M11 L51:M103" xr:uid="{ECA19D3A-9349-4231-8249-8EE46C97CEF9}">
      <formula1>"1,2,3,4"</formula1>
    </dataValidation>
  </dataValidation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078B8-016E-4D09-BBE1-32DBBAFFAD56}">
  <sheetPr>
    <tabColor theme="3" tint="0.249977111117893"/>
  </sheetPr>
  <dimension ref="B2:W16"/>
  <sheetViews>
    <sheetView showGridLines="0" topLeftCell="E1" zoomScaleNormal="100" workbookViewId="0">
      <selection activeCell="H6" sqref="H6"/>
    </sheetView>
  </sheetViews>
  <sheetFormatPr defaultColWidth="9.125" defaultRowHeight="14.25"/>
  <cols>
    <col min="1" max="2" width="9.125" style="18"/>
    <col min="3" max="5" width="20.25" style="18" customWidth="1"/>
    <col min="6" max="7" width="5.75" style="18" customWidth="1"/>
    <col min="8" max="8" width="25.75" style="18" customWidth="1"/>
    <col min="9" max="9" width="46.25" style="18" customWidth="1"/>
    <col min="10" max="10" width="25.875" style="18" customWidth="1"/>
    <col min="11" max="11" width="18" style="18" customWidth="1"/>
    <col min="12" max="12" width="10" style="18" customWidth="1"/>
    <col min="13" max="13" width="16.25" style="18" customWidth="1"/>
    <col min="14" max="14" width="15.625" style="18" customWidth="1"/>
    <col min="15" max="15" width="14.625" style="18" bestFit="1" customWidth="1"/>
    <col min="16" max="16" width="27.875" style="18" customWidth="1"/>
    <col min="17" max="18" width="9.125" style="18"/>
    <col min="19" max="19" width="15.25" style="18" customWidth="1"/>
    <col min="20" max="16384" width="9.125" style="18"/>
  </cols>
  <sheetData>
    <row r="2" spans="2:23" ht="28.5" customHeight="1">
      <c r="B2" s="340" t="s">
        <v>363</v>
      </c>
      <c r="C2" s="340"/>
      <c r="D2" s="340"/>
      <c r="E2" s="340"/>
      <c r="F2" s="340"/>
      <c r="G2" s="340"/>
      <c r="H2" s="340"/>
      <c r="I2" s="340"/>
      <c r="J2" s="340"/>
      <c r="K2" s="340"/>
      <c r="L2" s="340"/>
      <c r="M2" s="340"/>
      <c r="N2" s="340"/>
    </row>
    <row r="3" spans="2:23" ht="28.5" customHeight="1">
      <c r="B3" s="440" t="s">
        <v>364</v>
      </c>
      <c r="C3" s="440"/>
      <c r="D3" s="440"/>
      <c r="E3" s="440"/>
      <c r="F3" s="440"/>
      <c r="G3" s="440"/>
      <c r="H3" s="441"/>
      <c r="I3" s="441"/>
      <c r="J3" s="441"/>
      <c r="K3" s="441"/>
      <c r="L3" s="441"/>
      <c r="M3" s="441"/>
      <c r="N3" s="441"/>
    </row>
    <row r="4" spans="2:23" ht="28.5" customHeight="1">
      <c r="B4" s="108" t="s">
        <v>32</v>
      </c>
      <c r="C4" s="337" t="s">
        <v>118</v>
      </c>
      <c r="D4" s="337"/>
      <c r="E4" s="337"/>
      <c r="F4" s="337" t="s">
        <v>176</v>
      </c>
      <c r="G4" s="337"/>
      <c r="H4" s="108" t="s">
        <v>35</v>
      </c>
      <c r="I4" s="98" t="s">
        <v>120</v>
      </c>
      <c r="J4" s="98" t="s">
        <v>121</v>
      </c>
      <c r="K4" s="98" t="s">
        <v>122</v>
      </c>
      <c r="L4" s="98" t="s">
        <v>123</v>
      </c>
      <c r="M4" s="98" t="s">
        <v>124</v>
      </c>
      <c r="N4" s="98" t="s">
        <v>125</v>
      </c>
      <c r="O4" s="99"/>
      <c r="P4" s="100"/>
      <c r="Q4" s="99"/>
      <c r="R4" s="99"/>
      <c r="S4" s="100"/>
      <c r="T4" s="100"/>
      <c r="U4" s="100"/>
      <c r="V4" s="100"/>
      <c r="W4" s="99"/>
    </row>
    <row r="5" spans="2:23" ht="69.75" customHeight="1">
      <c r="B5" s="338">
        <v>1</v>
      </c>
      <c r="C5" s="334" t="s">
        <v>365</v>
      </c>
      <c r="D5" s="334"/>
      <c r="E5" s="334"/>
      <c r="F5" s="336" t="s">
        <v>420</v>
      </c>
      <c r="G5" s="336"/>
      <c r="H5" s="74"/>
      <c r="I5" s="230" t="str">
        <f>IF(F5="No", "Transferring personal data abroad without a lawful basis may lead to unauthorized processing, data breaches, and legal penalties under data protection laws.", "")</f>
        <v>Transferring personal data abroad without a lawful basis may lead to unauthorized processing, data breaches, and legal penalties under data protection laws.</v>
      </c>
      <c r="J5" s="230" t="str">
        <f>IF(F5="No", "Unlawful Processing - Unauthorized Processing of Personal Data 
Unlawful Processing - Unauthorized Disclosure ","")</f>
        <v xml:space="preserve">Unlawful Processing - Unauthorized Processing of Personal Data 
Unlawful Processing - Unauthorized Disclosure </v>
      </c>
      <c r="K5" s="230" t="str">
        <f>IF(F5="No", "SEC. 25, DPA 
SEC. 32, DPA ", "")</f>
        <v xml:space="preserve">SEC. 25, DPA 
SEC. 32, DPA </v>
      </c>
      <c r="L5" s="224" t="str">
        <f>IF(AND(F5="No", 'P1 Threshold Analysis'!D5="Yes"), 4, IF(AND(F5="No", 'P1 Threshold Analysis'!D4="Yes"),3,""))</f>
        <v/>
      </c>
      <c r="M5" s="224" t="str">
        <f>IF(AND(F5="No", 'P1 Threshold Analysis'!D5="Yes"), 4, IF(AND(F5="No", 'P1 Threshold Analysis'!D4="Yes"),3,""))</f>
        <v/>
      </c>
      <c r="N5" s="230" t="str">
        <f>IF(OR(L5="", M5=""), "",
 IF(L5*M5&gt;=10, IF(L5*M5&lt;=16, "High Risk", ""),
 IF(L5*M5&gt;=6, IF(L5*M5&lt;=9, "Medium Risk", ""),
 IF(L5*M5&gt;=2, IF(L5*M5&lt;=4, "Low Risk", ""),
 IF(L5*M5=1, "Negligible", "")))))</f>
        <v/>
      </c>
      <c r="P5" s="333"/>
      <c r="S5" s="333"/>
    </row>
    <row r="6" spans="2:23" s="1" customFormat="1" ht="26.45" customHeight="1">
      <c r="B6" s="338"/>
      <c r="C6" s="416" t="s">
        <v>366</v>
      </c>
      <c r="D6" s="416"/>
      <c r="E6" s="416"/>
      <c r="F6" s="370" t="b">
        <v>0</v>
      </c>
      <c r="G6" s="370"/>
      <c r="H6" s="74"/>
      <c r="I6" s="230"/>
      <c r="J6" s="230"/>
      <c r="K6" s="230"/>
      <c r="L6" s="224"/>
      <c r="M6" s="224"/>
      <c r="N6" s="230"/>
      <c r="P6" s="333"/>
      <c r="S6" s="333"/>
    </row>
    <row r="7" spans="2:23" s="1" customFormat="1" ht="32.25" customHeight="1">
      <c r="B7" s="338"/>
      <c r="C7" s="416" t="s">
        <v>367</v>
      </c>
      <c r="D7" s="416"/>
      <c r="E7" s="416"/>
      <c r="F7" s="370" t="b">
        <v>0</v>
      </c>
      <c r="G7" s="370"/>
      <c r="H7" s="74"/>
      <c r="I7" s="230"/>
      <c r="J7" s="230"/>
      <c r="K7" s="230"/>
      <c r="L7" s="224"/>
      <c r="M7" s="224"/>
      <c r="N7" s="230"/>
      <c r="P7" s="333"/>
      <c r="S7" s="333"/>
    </row>
    <row r="8" spans="2:23" s="1" customFormat="1" ht="32.25" customHeight="1">
      <c r="B8" s="338"/>
      <c r="C8" s="416" t="s">
        <v>368</v>
      </c>
      <c r="D8" s="416"/>
      <c r="E8" s="416"/>
      <c r="F8" s="370" t="b">
        <v>0</v>
      </c>
      <c r="G8" s="370"/>
      <c r="H8" s="74"/>
      <c r="I8" s="230"/>
      <c r="J8" s="230"/>
      <c r="K8" s="230"/>
      <c r="L8" s="224"/>
      <c r="M8" s="224"/>
      <c r="N8" s="230"/>
      <c r="P8" s="333"/>
      <c r="S8" s="333"/>
    </row>
    <row r="9" spans="2:23" s="1" customFormat="1" ht="31.5" customHeight="1">
      <c r="B9" s="338"/>
      <c r="C9" s="416" t="s">
        <v>369</v>
      </c>
      <c r="D9" s="416"/>
      <c r="E9" s="416"/>
      <c r="F9" s="370" t="b">
        <v>0</v>
      </c>
      <c r="G9" s="370"/>
      <c r="H9" s="74"/>
      <c r="I9" s="230"/>
      <c r="J9" s="230"/>
      <c r="K9" s="230"/>
      <c r="L9" s="224"/>
      <c r="M9" s="224"/>
      <c r="N9" s="230"/>
      <c r="P9" s="333"/>
      <c r="S9" s="333"/>
    </row>
    <row r="10" spans="2:23" s="1" customFormat="1" ht="26.45" customHeight="1">
      <c r="B10" s="338"/>
      <c r="C10" s="416" t="s">
        <v>370</v>
      </c>
      <c r="D10" s="416"/>
      <c r="E10" s="416"/>
      <c r="F10" s="370" t="b">
        <v>0</v>
      </c>
      <c r="G10" s="370"/>
      <c r="H10" s="74"/>
      <c r="I10" s="230"/>
      <c r="J10" s="230"/>
      <c r="K10" s="230"/>
      <c r="L10" s="224"/>
      <c r="M10" s="224"/>
      <c r="N10" s="230"/>
      <c r="P10" s="333"/>
      <c r="S10" s="333"/>
    </row>
    <row r="11" spans="2:23" ht="54" customHeight="1">
      <c r="B11" s="338">
        <v>2</v>
      </c>
      <c r="C11" s="334" t="s">
        <v>371</v>
      </c>
      <c r="D11" s="334"/>
      <c r="E11" s="334"/>
      <c r="F11" s="336"/>
      <c r="G11" s="336"/>
      <c r="H11" s="74"/>
      <c r="I11" s="230" t="str">
        <f>IF(F11="No", "Failure to ensure that cross-border data transfers comply with the Data Privacy Act of 2012 increases the risk of personal data being misused or accessed without authorization and exposes the organization to regulatory sanctions for non-compliance.", "")</f>
        <v/>
      </c>
      <c r="J11" s="230" t="str">
        <f>IF(F11="No", "Failure to implement reasonable and appropriate security measures – Organizational 
Failure to ensure that third parties implement security measures
Personal Data Breach - Availability, Integrity, Confidentiality  ","")</f>
        <v/>
      </c>
      <c r="K11" s="230" t="str">
        <f>IF(F11="No", "SEC. 20, DPA ", "")</f>
        <v/>
      </c>
      <c r="L11" s="224" t="str">
        <f>IF(AND(F11="No", COUNTIF(F12:G16, "False")&gt;4), 4, IF(AND(F11="No",  'P1 Threshold Analysis'!D5="Yes", COUNTIF(F12:G16, "True")&gt;0), 4, IF(AND(F11="No", 'P1 Threshold Analysis'!D5="No",COUNTIF(F12:G16, "True")&gt;0), 3, "")))</f>
        <v/>
      </c>
      <c r="M11" s="224" t="str">
        <f>IF(AND(F11="No", COUNTIF(F12:G16, "False")&gt;4), 4, IF(AND(F11="No",  'P1 Threshold Analysis'!D5="Yes", COUNTIF(F12:G16, "True")&gt;0), 4, IF(AND(F11="No", 'P1 Threshold Analysis'!D5="No",COUNTIF(F12:G16, "True")&gt;0), 3, "")))</f>
        <v/>
      </c>
      <c r="N11" s="230" t="str">
        <f>IF(OR(L11="", M11=""), "",
 IF(L11*M11&gt;=10, IF(L11*M11&lt;=16, "High Risk", ""),
 IF(L11*M11&gt;=6, IF(L11*M11&lt;=9, "Medium Risk", ""),
 IF(L11*M11&gt;=2, IF(L11*M11&lt;=4, "Low Risk", ""),
 IF(L11*M11=1, "Negligible", "")))))</f>
        <v/>
      </c>
      <c r="P11" s="333"/>
      <c r="S11" s="333"/>
    </row>
    <row r="12" spans="2:23" ht="52.5" customHeight="1">
      <c r="B12" s="338"/>
      <c r="C12" s="416" t="s">
        <v>372</v>
      </c>
      <c r="D12" s="416"/>
      <c r="E12" s="416"/>
      <c r="F12" s="370" t="b">
        <v>0</v>
      </c>
      <c r="G12" s="370"/>
      <c r="H12" s="74"/>
      <c r="I12" s="230"/>
      <c r="J12" s="230"/>
      <c r="K12" s="230"/>
      <c r="L12" s="224"/>
      <c r="M12" s="224"/>
      <c r="N12" s="230"/>
      <c r="P12" s="333"/>
      <c r="S12" s="333"/>
    </row>
    <row r="13" spans="2:23" ht="46.5" customHeight="1">
      <c r="B13" s="338"/>
      <c r="C13" s="416" t="s">
        <v>373</v>
      </c>
      <c r="D13" s="416"/>
      <c r="E13" s="416"/>
      <c r="F13" s="370" t="b">
        <v>0</v>
      </c>
      <c r="G13" s="370"/>
      <c r="H13" s="74"/>
      <c r="I13" s="230"/>
      <c r="J13" s="230"/>
      <c r="K13" s="230"/>
      <c r="L13" s="224"/>
      <c r="M13" s="224"/>
      <c r="N13" s="230"/>
      <c r="P13" s="333"/>
      <c r="S13" s="333"/>
    </row>
    <row r="14" spans="2:23" ht="54" customHeight="1">
      <c r="B14" s="338"/>
      <c r="C14" s="416" t="s">
        <v>374</v>
      </c>
      <c r="D14" s="416"/>
      <c r="E14" s="416"/>
      <c r="F14" s="370" t="b">
        <v>0</v>
      </c>
      <c r="G14" s="370"/>
      <c r="H14" s="74"/>
      <c r="I14" s="230"/>
      <c r="J14" s="230"/>
      <c r="K14" s="230"/>
      <c r="L14" s="224"/>
      <c r="M14" s="224"/>
      <c r="N14" s="230"/>
      <c r="P14" s="333"/>
      <c r="S14" s="333"/>
    </row>
    <row r="15" spans="2:23" ht="54" customHeight="1">
      <c r="B15" s="338"/>
      <c r="C15" s="416" t="s">
        <v>375</v>
      </c>
      <c r="D15" s="416"/>
      <c r="E15" s="416"/>
      <c r="F15" s="370" t="b">
        <v>0</v>
      </c>
      <c r="G15" s="370"/>
      <c r="H15" s="74"/>
      <c r="I15" s="230"/>
      <c r="J15" s="230"/>
      <c r="K15" s="230"/>
      <c r="L15" s="224"/>
      <c r="M15" s="224"/>
      <c r="N15" s="230"/>
      <c r="P15" s="333"/>
      <c r="S15" s="333"/>
    </row>
    <row r="16" spans="2:23" ht="33" customHeight="1">
      <c r="B16" s="338"/>
      <c r="C16" s="416" t="s">
        <v>376</v>
      </c>
      <c r="D16" s="416"/>
      <c r="E16" s="416"/>
      <c r="F16" s="370" t="b">
        <v>0</v>
      </c>
      <c r="G16" s="370"/>
      <c r="H16" s="74"/>
      <c r="I16" s="230"/>
      <c r="J16" s="230"/>
      <c r="K16" s="230"/>
      <c r="L16" s="224"/>
      <c r="M16" s="224"/>
      <c r="N16" s="230"/>
      <c r="P16" s="333"/>
      <c r="S16" s="333"/>
    </row>
  </sheetData>
  <sheetProtection algorithmName="SHA-512" hashValue="I8HxDqTIOl5g+I3WDui0MWnRcoejvmif5pF046BgUlFxMPdofX+1jB27LaatwQcxOVCQnF+1dxQdvH35FaQsCw==" saltValue="bD3k6qrIOPYx65WU/CiK7Q==" spinCount="100000" sheet="1" objects="1" scenarios="1"/>
  <protectedRanges>
    <protectedRange sqref="F5:G16" name="Range1"/>
    <protectedRange sqref="H5:H16" name="Range16"/>
    <protectedRange sqref="H3" name="Range3"/>
    <protectedRange sqref="H3:N3" name="Range4"/>
  </protectedRanges>
  <mergeCells count="47">
    <mergeCell ref="P5:P10"/>
    <mergeCell ref="S5:S10"/>
    <mergeCell ref="P11:P16"/>
    <mergeCell ref="S11:S16"/>
    <mergeCell ref="B2:N2"/>
    <mergeCell ref="C11:E11"/>
    <mergeCell ref="F11:G11"/>
    <mergeCell ref="I5:I10"/>
    <mergeCell ref="J5:J10"/>
    <mergeCell ref="K5:K10"/>
    <mergeCell ref="L5:L10"/>
    <mergeCell ref="M5:M10"/>
    <mergeCell ref="N5:N10"/>
    <mergeCell ref="I11:I16"/>
    <mergeCell ref="J11:J16"/>
    <mergeCell ref="K11:K16"/>
    <mergeCell ref="L11:L16"/>
    <mergeCell ref="M11:M16"/>
    <mergeCell ref="N11:N16"/>
    <mergeCell ref="F5:G5"/>
    <mergeCell ref="F6:G6"/>
    <mergeCell ref="F7:G7"/>
    <mergeCell ref="F8:G8"/>
    <mergeCell ref="F9:G9"/>
    <mergeCell ref="C16:E16"/>
    <mergeCell ref="F10:G10"/>
    <mergeCell ref="F13:G13"/>
    <mergeCell ref="F14:G14"/>
    <mergeCell ref="F15:G15"/>
    <mergeCell ref="F16:G16"/>
    <mergeCell ref="C13:E13"/>
    <mergeCell ref="B3:G3"/>
    <mergeCell ref="H3:N3"/>
    <mergeCell ref="C14:E14"/>
    <mergeCell ref="C15:E15"/>
    <mergeCell ref="B5:B10"/>
    <mergeCell ref="C6:E6"/>
    <mergeCell ref="C7:E7"/>
    <mergeCell ref="C8:E8"/>
    <mergeCell ref="C9:E9"/>
    <mergeCell ref="C10:E10"/>
    <mergeCell ref="C5:E5"/>
    <mergeCell ref="C4:E4"/>
    <mergeCell ref="C12:E12"/>
    <mergeCell ref="F4:G4"/>
    <mergeCell ref="F12:G12"/>
    <mergeCell ref="B11:B16"/>
  </mergeCells>
  <conditionalFormatting sqref="F5:H16">
    <cfRule type="expression" dxfId="55" priority="5">
      <formula>UPPER($H$3)="N/A"</formula>
    </cfRule>
  </conditionalFormatting>
  <conditionalFormatting sqref="H5:H16">
    <cfRule type="expression" dxfId="54" priority="4">
      <formula>UPPER($F$104)="N/A"</formula>
    </cfRule>
  </conditionalFormatting>
  <conditionalFormatting sqref="N5">
    <cfRule type="containsText" dxfId="53" priority="10" operator="containsText" text="Medium">
      <formula>NOT(ISERROR(SEARCH("Medium",N5)))</formula>
    </cfRule>
    <cfRule type="containsText" dxfId="52" priority="11" operator="containsText" text="Low">
      <formula>NOT(ISERROR(SEARCH("Low",N5)))</formula>
    </cfRule>
    <cfRule type="containsText" dxfId="51" priority="12" operator="containsText" text="High">
      <formula>NOT(ISERROR(SEARCH("High",N5)))</formula>
    </cfRule>
  </conditionalFormatting>
  <conditionalFormatting sqref="N11">
    <cfRule type="containsText" dxfId="50" priority="7" operator="containsText" text="Medium">
      <formula>NOT(ISERROR(SEARCH("Medium",N11)))</formula>
    </cfRule>
    <cfRule type="containsText" dxfId="49" priority="8" operator="containsText" text="Low">
      <formula>NOT(ISERROR(SEARCH("Low",N11)))</formula>
    </cfRule>
    <cfRule type="containsText" dxfId="48" priority="9" operator="containsText" text="High">
      <formula>NOT(ISERROR(SEARCH("High",N11)))</formula>
    </cfRule>
  </conditionalFormatting>
  <conditionalFormatting sqref="O4:W4">
    <cfRule type="containsText" dxfId="47" priority="1" operator="containsText" text="High">
      <formula>NOT(ISERROR(SEARCH("High",O4)))</formula>
    </cfRule>
    <cfRule type="containsText" dxfId="46" priority="2" operator="containsText" text="Medium ">
      <formula>NOT(ISERROR(SEARCH("Medium ",O4)))</formula>
    </cfRule>
    <cfRule type="containsText" dxfId="45" priority="3" operator="containsText" text="Low">
      <formula>NOT(ISERROR(SEARCH("Low",O4)))</formula>
    </cfRule>
  </conditionalFormatting>
  <dataValidations count="6">
    <dataValidation type="list" allowBlank="1" showInputMessage="1" showErrorMessage="1" sqref="F11:G11" xr:uid="{42EB30D1-00B2-4332-AD3A-F572AE35B5D6}">
      <formula1>"Yes,No,N/A"</formula1>
    </dataValidation>
    <dataValidation allowBlank="1" showInputMessage="1" showErrorMessage="1" sqref="F12:G16 F6:G10" xr:uid="{E4650AA3-5F7C-4C17-AAAE-53424F0084FB}"/>
    <dataValidation type="list" showInputMessage="1" showErrorMessage="1" sqref="L5:M16" xr:uid="{E51E2B04-03B8-42F0-BEF0-7DDAA84D0873}">
      <formula1>"1,2,3,4"</formula1>
    </dataValidation>
    <dataValidation type="list" allowBlank="1" showInputMessage="1" showErrorMessage="1" sqref="F5:G5" xr:uid="{2063EB5D-AF21-41A2-A3AD-F527C909F8C1}">
      <formula1>"Yes,No"</formula1>
    </dataValidation>
    <dataValidation type="custom" allowBlank="1" showInputMessage="1" showErrorMessage="1" errorTitle="Not Applicable" error="This field applies only if there is any cross-border transfer of data. Otherwise, enter &quot;N/A&quot; or leave blank." prompt="Enter details only if applicable. Otherwise, enter &quot;N/A&quot; or leave blank." sqref="H5:H16" xr:uid="{BEDAB71A-9992-4716-8A92-AA08BAB14B76}">
      <formula1>OR($H$3="Yes", H5="N/A", H5="")</formula1>
    </dataValidation>
    <dataValidation type="list" allowBlank="1" showInputMessage="1" showErrorMessage="1" sqref="H3:N3" xr:uid="{89AAC63D-9D30-44F4-98DF-FC2CF6EF5D39}">
      <formula1>"Yes, N/A"</formula1>
    </dataValidation>
  </dataValidation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3C29C-C8CE-4CAC-A26C-656582B00032}">
  <sheetPr>
    <tabColor theme="3" tint="0.749992370372631"/>
  </sheetPr>
  <dimension ref="B2:P50"/>
  <sheetViews>
    <sheetView tabSelected="1" topLeftCell="H1" zoomScale="105" workbookViewId="0">
      <selection activeCell="H3" sqref="H3:M3"/>
    </sheetView>
  </sheetViews>
  <sheetFormatPr defaultColWidth="9.125" defaultRowHeight="14.25"/>
  <cols>
    <col min="1" max="1" width="9.125" style="18"/>
    <col min="2" max="2" width="37.75" style="129" customWidth="1"/>
    <col min="3" max="3" width="23" style="96" customWidth="1"/>
    <col min="4" max="4" width="16.75" style="96" customWidth="1"/>
    <col min="5" max="5" width="14.375" style="94" customWidth="1"/>
    <col min="6" max="6" width="61.125" style="2" customWidth="1"/>
    <col min="7" max="7" width="11.25" style="94" customWidth="1"/>
    <col min="8" max="8" width="13.375" style="94" customWidth="1"/>
    <col min="9" max="9" width="17.625" style="94" customWidth="1"/>
    <col min="10" max="10" width="13.125" style="136" customWidth="1"/>
    <col min="11" max="11" width="16.375" style="136" customWidth="1"/>
    <col min="12" max="12" width="18.625" style="94" customWidth="1"/>
    <col min="13" max="13" width="15.625" style="94" customWidth="1"/>
    <col min="14" max="14" width="12.25" style="94" customWidth="1"/>
    <col min="15" max="15" width="32.875" style="129" customWidth="1"/>
    <col min="16" max="16" width="32.875" style="96" customWidth="1"/>
    <col min="17" max="16384" width="9.125" style="18"/>
  </cols>
  <sheetData>
    <row r="2" spans="2:14" ht="64.5" customHeight="1">
      <c r="B2" s="137" t="s">
        <v>377</v>
      </c>
      <c r="C2" s="137" t="s">
        <v>121</v>
      </c>
      <c r="D2" s="137" t="s">
        <v>378</v>
      </c>
      <c r="E2" s="137" t="s">
        <v>379</v>
      </c>
      <c r="F2" s="137" t="s">
        <v>380</v>
      </c>
      <c r="G2" s="25" t="s">
        <v>381</v>
      </c>
      <c r="H2" s="137" t="s">
        <v>382</v>
      </c>
      <c r="I2" s="137" t="s">
        <v>383</v>
      </c>
      <c r="J2" s="138" t="s">
        <v>384</v>
      </c>
      <c r="K2" s="138" t="s">
        <v>385</v>
      </c>
      <c r="L2" s="137" t="s">
        <v>386</v>
      </c>
      <c r="M2" s="25" t="s">
        <v>387</v>
      </c>
    </row>
    <row r="3" spans="2:14" ht="219" customHeight="1">
      <c r="B3" s="52" t="str" cm="1">
        <f t="array" ref="B3:C3">_xlfn.LET(
  _xlpm.combined,
  _xlfn.UNIQUE(
    _xlfn.VSTACK(
      IFERROR(_xlfn._xlws.FILTER(CHOOSE({1,2}, 'P3 Gen Data Privacy Principles'!H7:H18, 'P3 Gen Data Privacy Principles'!I7:I18), 'P3 Gen Data Privacy Principles'!H7:H18&lt;&gt;""), ""),
      IFERROR(_xlfn._xlws.FILTER(CHOOSE({1,2}, 'P3 Gen Data Privacy Principles'!H20:H21, 'P3 Gen Data Privacy Principles'!I20:I21), 'P3 Gen Data Privacy Principles'!H20:H21&lt;&gt;""), ""),
      IFERROR(_xlfn._xlws.FILTER(CHOOSE({1,2}, 'P3 Gen Data Privacy Principles'!H24:H28, 'P3 Gen Data Privacy Principles'!I24:I28), 'P3 Gen Data Privacy Principles'!H24:H28&lt;&gt;""), ""),
      IFERROR(_xlfn._xlws.FILTER(CHOOSE({1,2}, 'P3 Gen Data Privacy Principles'!H30, 'P3 Gen Data Privacy Principles'!I30), 'P3 Gen Data Privacy Principles'!H30&lt;&gt;""), ""),
      IFERROR(_xlfn._xlws.FILTER(CHOOSE({1,2}, 'P3 Gen Data Privacy Principles'!H32:H40, 'P3 Gen Data Privacy Principles'!I32:I40), 'P3 Gen Data Privacy Principles'!H32:H40&lt;&gt;""), ""),
      IFERROR(_xlfn._xlws.FILTER(CHOOSE({1,2}, 'P3 Gen Data Privacy Principles'!H42, 'P3 Gen Data Privacy Principles'!I42), 'P3 Gen Data Privacy Principles'!H42&lt;&gt;""), ""),
      IFERROR(_xlfn._xlws.FILTER(CHOOSE({1,2}, 'P3 Gen Data Privacy Principles'!H44, 'P3 Gen Data Privacy Principles'!I44), 'P3 Gen Data Privacy Principles'!H44&lt;&gt;""), ""),
      IFERROR(_xlfn._xlws.FILTER(CHOOSE({1,2}, 'P3 Data Subject Rights'!I11:I21, 'P3 Data Subject Rights'!J11:J21), 'P3 Data Subject Rights'!I11:I21&lt;&gt;""), ""),
      IFERROR(_xlfn._xlws.FILTER(CHOOSE({1,2}, 'P3 Data Subject Rights'!I23, 'P3 Data Subject Rights'!J23), 'P3 Data Subject Rights'!I23&lt;&gt;""), ""),
      IFERROR(_xlfn._xlws.FILTER(CHOOSE({1,2}, 'P3 Data Subject Rights'!I34, 'P3 Data Subject Rights'!J34), 'P3 Data Subject Rights'!I34&lt;&gt;""), ""),
      IFERROR(_xlfn._xlws.FILTER(CHOOSE({1,2},'P3 Data Subject Rights'!I36, 'P3 Data Subject Rights'!J36), 'P3 Data Subject Rights'!I36&lt;&gt;""), ""),
IFERROR(_xlfn._xlws.FILTER(CHOOSE({1,2},'P3 Data Subject Rights'!I37, 'P3 Data Subject Rights'!J36), 'P3 Data Subject Rights'!I37&lt;&gt;""), ""),
      IFERROR(_xlfn._xlws.FILTER(CHOOSE({1,2}, 'P3 Data Subject Rights'!I39, 'P3 Data Subject Rights'!J39), 'P3 Data Subject Rights'!I39&lt;&gt;""), ""),
      IFERROR(_xlfn._xlws.FILTER(CHOOSE({1,2},'P3 Data Subject Rights'!I41, 'P3 Data Subject Rights'!J41), 'P3 Data Subject Rights'!I41&lt;&gt;""), ""),
      IFERROR(_xlfn._xlws.FILTER(CHOOSE({1,2},'P3 Data Subject Rights'!I43, 'P3 Data Subject Rights'!J43), 'P3 Data Subject Rights'!I43&lt;&gt;""), ""),
      IFERROR(_xlfn._xlws.FILTER(CHOOSE({1,2},'P3 Data Security'!I4,'P3 Data Security'!J4), 'P3 Data Security'!I4&lt;&gt;""), ""),
     IFERROR(_xlfn._xlws.FILTER(CHOOSE({1,2},'P3 Data Security'!I5,'P3 Data Security'!J5), 'P3 Data Security'!I5&lt;&gt;""), ""),
     IFERROR(_xlfn._xlws.FILTER(CHOOSE({1,2},'P3 Data Security'!I6,'P3 Data Security'!J6), 'P3 Data Security'!I6&lt;&gt;""), ""),
     IFERROR(_xlfn._xlws.FILTER(CHOOSE({1,2},'P3 Data Security'!I12,'P3 Data Security'!J12), 'P3 Data Security'!I12&lt;&gt;""), ""),
     IFERROR(_xlfn._xlws.FILTER(CHOOSE({1,2},'P3 Data Security'!I30,'P3 Data Security'!J30), 'P3 Data Security'!I30&lt;&gt;""), ""),
     IFERROR(_xlfn._xlws.FILTER(CHOOSE({1,2},'P3 Data Security'!I31,'P3 Data Security'!J31), 'P3 Data Security'!I31&lt;&gt;""), ""),
     IFERROR(_xlfn._xlws.FILTER(CHOOSE({1,2},'P3 Data Security'!I32,'P3 Data Security'!J32), 'P3 Data Security'!I32&lt;&gt;""), ""),
     IFERROR(_xlfn._xlws.FILTER(CHOOSE({1,2},'P3 Data Security'!I51,'P3 Data Security'!J51), 'P3 Data Security'!I51&lt;&gt;""), ""),
     IFERROR(_xlfn._xlws.FILTER(CHOOSE({1,2},'P3 Data Security'!I104,'P3 Data Security'!J104), 'P3 Data Security'!I104&lt;&gt;""), ""),
     IFERROR(_xlfn._xlws.FILTER(CHOOSE({1,2},'P3 Data Security'!I121,'P3 Data Security'!J121), 'P3 Data Security'!I121&lt;&gt;""), ""),
     IFERROR(_xlfn._xlws.FILTER(CHOOSE({1,2},'P3 Data Security'!I129,'P3 Data Security'!J129), 'P3 Data Security'!I129&lt;&gt;""), ""),
     IFERROR(_xlfn._xlws.FILTER(CHOOSE({1,2},'P3 Data Security'!I134,'P3 Data Security'!J134), 'P3 Data Security'!I134&lt;&gt;""), ""),
     IFERROR(_xlfn._xlws.FILTER(CHOOSE({1,2},'P3 Data Security'!I135,'P3 Data Security'!J135), 'P3 Data Security'!I135&lt;&gt;""), ""),
     IFERROR(_xlfn._xlws.FILTER(CHOOSE({1,2},'P3 Data Security'!I136,'P3 Data Security'!J136), 'P3 Data Security'!I136&lt;&gt;""), ""),
     IFERROR(_xlfn._xlws.FILTER(CHOOSE({1,2},'P3 Data Security'!I144,'P3 Data Security'!J144), 'P3 Data Security'!I144&lt;&gt;""), ""),
     IFERROR(_xlfn._xlws.FILTER(CHOOSE({1,2},'P3 Data Security'!I151,'P3 Data Security'!J151), 'P3 Data Security'!I151&lt;&gt;""), ""),
     IFERROR(_xlfn._xlws.FILTER(CHOOSE({1,2},'P3 Data Security'!I152,'P3 Data Security'!J152), 'P3 Data Security'!I152&lt;&gt;""), ""),
     IFERROR(_xlfn._xlws.FILTER(CHOOSE({1,2},'P3 Data Security'!I153,'P3 Data Security'!J153), 'P3 Data Security'!I153&lt;&gt;""), ""),
     IFERROR(_xlfn._xlws.FILTER(CHOOSE({1,2},'P3 Cross-border Data Flows'!I5,'P3 Cross-border Data Flows'!J5),'P3 Cross-border Data Flows'!I5&lt;&gt;""), ""),
     IFERROR(_xlfn._xlws.FILTER(CHOOSE({1,2},'P3 Cross-border Data Flows'!I11,'P3 Cross-border Data Flows'!J11),'P3 Cross-border Data Flows'!I11&lt;&gt;""), "")
    )
  ),
  _xlfn._xlws.FILTER(_xlpm.combined, (TRIM(INDEX(_xlpm.combined,,1))&lt;&gt;"") * (INDEX(_xlpm.combined,,1)&lt;&gt;"N/A"))
)</f>
        <v>Transferring personal data abroad without a lawful basis may lead to unauthorized processing, data breaches, and legal penalties under data protection laws.</v>
      </c>
      <c r="C3" s="14" t="str">
        <v xml:space="preserve">Unlawful Processing - Unauthorized Processing of Personal Data 
Unlawful Processing - Unauthorized Disclosure </v>
      </c>
      <c r="D3" s="14" t="str">
        <f>_xlfn.XLOOKUP(B3,'Mitigation Map'!H:H,'Mitigation Map'!M:M, "")</f>
        <v/>
      </c>
      <c r="E3" s="12" t="str">
        <f>_xlfn.XLOOKUP(F3,'Mitigation Map'!O:O,'Mitigation Map'!N:N,"")</f>
        <v>Reduce</v>
      </c>
      <c r="F3" s="52" t="str">
        <f>_xlfn.XLOOKUP(B3,'Mitigation Map'!H:H, 'Mitigation Map'!O:O, "No Mitigation Found")</f>
        <v>Prior to any cross-border transfer of personal data, the organization shall ensure that such transfers are grounded on a lawful basis under the Data Privacy Act of 2012. Only countries with adequate protection, contractual safeguards, or a specific legal basis (e.g., consent, contract, or international agreements) will be permitted as data transfer destinations. The Data Protection Officer will maintain records of all cross-border transfers, and contracts entered into.</v>
      </c>
      <c r="G3" s="12" t="str">
        <f>_xlfn.XLOOKUP(F3,'Mitigation Map'!O:O,'Mitigation Map'!P:P,"")</f>
        <v>Planned</v>
      </c>
      <c r="H3" s="12" t="str">
        <f>_xlfn.XLOOKUP(F3,'Mitigation Map'!O:O,'Mitigation Map'!Q:Q)</f>
        <v>Low</v>
      </c>
      <c r="I3" s="14" t="str">
        <f>_xlfn.XLOOKUP(F3,'Mitigation Map'!O:O, 'Mitigation Map'!R:R, "")</f>
        <v>SECS. 21, 22, 50, IRR</v>
      </c>
      <c r="J3" s="130">
        <v>45880</v>
      </c>
      <c r="K3" s="131">
        <f>IF(OR(J3="", _xlfn.XLOOKUP('Risk Treatment Plan'!F3, 'Mitigation Map'!O:O, 'Mitigation Map'!T:T, "")=""), "", J3 + _xlfn.XLOOKUP('Risk Treatment Plan'!F3, 'Mitigation Map'!O:O, 'Mitigation Map'!T:T))</f>
        <v>45881</v>
      </c>
      <c r="L3" s="14" t="str">
        <f>_xlfn.XLOOKUP(F3,'Mitigation Map'!O:O,'Mitigation Map'!U:U,"")</f>
        <v>Annual or upon any significant change to data processing activities</v>
      </c>
      <c r="M3" s="14" t="str">
        <f>_xlfn.XLOOKUP(F3,'Mitigation Map'!O:O,'Mitigation Map'!V:V,"")</f>
        <v>System/Process Owner</v>
      </c>
    </row>
    <row r="4" spans="2:14" ht="137.25" customHeight="1">
      <c r="B4" s="52"/>
      <c r="C4" s="14"/>
      <c r="D4" s="14">
        <f>_xlfn.XLOOKUP(B4,'Mitigation Map'!H:H,'Mitigation Map'!M:M, "")</f>
        <v>0</v>
      </c>
      <c r="E4" s="12" t="str">
        <f>_xlfn.XLOOKUP(F4,'Mitigation Map'!O:O,'Mitigation Map'!N:N,"")</f>
        <v/>
      </c>
      <c r="F4" s="52">
        <f>_xlfn.XLOOKUP(B4,'Mitigation Map'!H:H, 'Mitigation Map'!O:O, "No Mitigation Found")</f>
        <v>0</v>
      </c>
      <c r="G4" s="12" t="str">
        <f>_xlfn.XLOOKUP(F4,'Mitigation Map'!O:O,'Mitigation Map'!P:P,"")</f>
        <v/>
      </c>
      <c r="H4" s="12" t="e">
        <f>_xlfn.XLOOKUP(F4,'Mitigation Map'!O:O,'Mitigation Map'!Q:Q)</f>
        <v>#N/A</v>
      </c>
      <c r="I4" s="14" t="str">
        <f>_xlfn.XLOOKUP(F4,'Mitigation Map'!O:O, 'Mitigation Map'!R:R, "")</f>
        <v/>
      </c>
      <c r="J4" s="130">
        <f>IF(OR($J$3="", F4=""), "", $J$3)</f>
        <v>45880</v>
      </c>
      <c r="K4" s="131" t="str">
        <f>IF(OR(J4="", _xlfn.XLOOKUP('Risk Treatment Plan'!F4, 'Mitigation Map'!O:O, 'Mitigation Map'!T:T, "")=""), "", J4 + _xlfn.XLOOKUP('Risk Treatment Plan'!F4, 'Mitigation Map'!O:O, 'Mitigation Map'!T:T))</f>
        <v/>
      </c>
      <c r="L4" s="14" t="str">
        <f>_xlfn.XLOOKUP(F4,'Mitigation Map'!O:O,'Mitigation Map'!U:U,"")</f>
        <v/>
      </c>
      <c r="M4" s="14" t="str">
        <f>_xlfn.XLOOKUP(F4,'Mitigation Map'!O:O,'Mitigation Map'!V:V,"")</f>
        <v/>
      </c>
    </row>
    <row r="5" spans="2:14" ht="344.25" customHeight="1">
      <c r="B5" s="52"/>
      <c r="C5" s="14"/>
      <c r="D5" s="14">
        <f>_xlfn.XLOOKUP(B5,'Mitigation Map'!H:H,'Mitigation Map'!M:M, "")</f>
        <v>0</v>
      </c>
      <c r="E5" s="12" t="str">
        <f>_xlfn.XLOOKUP(F5,'Mitigation Map'!O:O,'Mitigation Map'!N:N,"")</f>
        <v/>
      </c>
      <c r="F5" s="52">
        <f>_xlfn.XLOOKUP(B5,'Mitigation Map'!H:H, 'Mitigation Map'!O:O, "No Mitigation Found")</f>
        <v>0</v>
      </c>
      <c r="G5" s="12" t="str">
        <f>_xlfn.XLOOKUP(F5,'Mitigation Map'!O:O,'Mitigation Map'!P:P,"")</f>
        <v/>
      </c>
      <c r="H5" s="12" t="e">
        <f>_xlfn.XLOOKUP(F5,'Mitigation Map'!O:O,'Mitigation Map'!Q:Q)</f>
        <v>#N/A</v>
      </c>
      <c r="I5" s="14" t="str">
        <f>_xlfn.XLOOKUP(F5,'Mitigation Map'!O:O, 'Mitigation Map'!R:R, "")</f>
        <v/>
      </c>
      <c r="J5" s="130">
        <f t="shared" ref="J5:J46" si="0">IF(OR($J$3="", F5=""), "", $J$3)</f>
        <v>45880</v>
      </c>
      <c r="K5" s="131" t="str">
        <f>IF(OR(J5="", _xlfn.XLOOKUP('Risk Treatment Plan'!F5, 'Mitigation Map'!O:O, 'Mitigation Map'!T:T, "")=""), "", J5 + _xlfn.XLOOKUP('Risk Treatment Plan'!F5, 'Mitigation Map'!O:O, 'Mitigation Map'!T:T))</f>
        <v/>
      </c>
      <c r="L5" s="14" t="str">
        <f>_xlfn.XLOOKUP(F5,'Mitigation Map'!O:O,'Mitigation Map'!U:U,"")</f>
        <v/>
      </c>
      <c r="M5" s="14" t="str">
        <f>_xlfn.XLOOKUP(F5,'Mitigation Map'!O:O,'Mitigation Map'!V:V,"")</f>
        <v/>
      </c>
      <c r="N5" s="96"/>
    </row>
    <row r="6" spans="2:14" ht="144" customHeight="1">
      <c r="B6" s="52"/>
      <c r="C6" s="14"/>
      <c r="D6" s="14">
        <f>_xlfn.XLOOKUP(B6,'Mitigation Map'!H:H,'Mitigation Map'!M:M, "")</f>
        <v>0</v>
      </c>
      <c r="E6" s="12" t="str">
        <f>_xlfn.XLOOKUP(F6,'Mitigation Map'!O:O,'Mitigation Map'!N:N,"")</f>
        <v/>
      </c>
      <c r="F6" s="52">
        <f>_xlfn.XLOOKUP(B6,'Mitigation Map'!H:H, 'Mitigation Map'!O:O, "No Mitigation Found")</f>
        <v>0</v>
      </c>
      <c r="G6" s="12" t="str">
        <f>_xlfn.XLOOKUP(F6,'Mitigation Map'!O:O,'Mitigation Map'!P:P,"")</f>
        <v/>
      </c>
      <c r="H6" s="12" t="e">
        <f>_xlfn.XLOOKUP(F6,'Mitigation Map'!O:O,'Mitigation Map'!Q:Q)</f>
        <v>#N/A</v>
      </c>
      <c r="I6" s="14" t="str">
        <f>_xlfn.XLOOKUP(F6,'Mitigation Map'!O:O, 'Mitigation Map'!R:R, "")</f>
        <v/>
      </c>
      <c r="J6" s="130">
        <f t="shared" si="0"/>
        <v>45880</v>
      </c>
      <c r="K6" s="131" t="str">
        <f>IF(OR(J6="", _xlfn.XLOOKUP('Risk Treatment Plan'!F6, 'Mitigation Map'!O:O, 'Mitigation Map'!T:T, "")=""), "", J6 + _xlfn.XLOOKUP('Risk Treatment Plan'!F6, 'Mitigation Map'!O:O, 'Mitigation Map'!T:T))</f>
        <v/>
      </c>
      <c r="L6" s="14" t="str">
        <f>_xlfn.XLOOKUP(F6,'Mitigation Map'!O:O,'Mitigation Map'!U:U,"")</f>
        <v/>
      </c>
      <c r="M6" s="14" t="str">
        <f>_xlfn.XLOOKUP(F6,'Mitigation Map'!O:O,'Mitigation Map'!V:V,"")</f>
        <v/>
      </c>
      <c r="N6" s="96"/>
    </row>
    <row r="7" spans="2:14" ht="123.75" customHeight="1">
      <c r="B7" s="52"/>
      <c r="C7" s="14"/>
      <c r="D7" s="14">
        <f>_xlfn.XLOOKUP(B7,'Mitigation Map'!H:H,'Mitigation Map'!M:M, "")</f>
        <v>0</v>
      </c>
      <c r="E7" s="12" t="str">
        <f>_xlfn.XLOOKUP(F7,'Mitigation Map'!O:O,'Mitigation Map'!N:N,"")</f>
        <v/>
      </c>
      <c r="F7" s="52">
        <f>_xlfn.XLOOKUP(B7,'Mitigation Map'!H:H, 'Mitigation Map'!O:O, "No Mitigation Found")</f>
        <v>0</v>
      </c>
      <c r="G7" s="12" t="str">
        <f>_xlfn.XLOOKUP(F7,'Mitigation Map'!O:O,'Mitigation Map'!P:P,"")</f>
        <v/>
      </c>
      <c r="H7" s="12" t="e">
        <f>_xlfn.XLOOKUP(F7,'Mitigation Map'!O:O,'Mitigation Map'!Q:Q)</f>
        <v>#N/A</v>
      </c>
      <c r="I7" s="14" t="str">
        <f>_xlfn.XLOOKUP(F7,'Mitigation Map'!O:O, 'Mitigation Map'!R:R, "")</f>
        <v/>
      </c>
      <c r="J7" s="130">
        <f t="shared" si="0"/>
        <v>45880</v>
      </c>
      <c r="K7" s="131" t="str">
        <f>IF(OR(J7="", _xlfn.XLOOKUP('Risk Treatment Plan'!F7, 'Mitigation Map'!O:O, 'Mitigation Map'!T:T, "")=""), "", J7 + _xlfn.XLOOKUP('Risk Treatment Plan'!F7, 'Mitigation Map'!O:O, 'Mitigation Map'!T:T))</f>
        <v/>
      </c>
      <c r="L7" s="14" t="str">
        <f>_xlfn.XLOOKUP(F7,'Mitigation Map'!O:O,'Mitigation Map'!U:U,"")</f>
        <v/>
      </c>
      <c r="M7" s="14" t="str">
        <f>_xlfn.XLOOKUP(F7,'Mitigation Map'!O:O,'Mitigation Map'!V:V,"")</f>
        <v/>
      </c>
    </row>
    <row r="8" spans="2:14" ht="131.25" customHeight="1">
      <c r="B8" s="52"/>
      <c r="C8" s="14"/>
      <c r="D8" s="14">
        <f>_xlfn.XLOOKUP(B8,'Mitigation Map'!H:H,'Mitigation Map'!M:M, "")</f>
        <v>0</v>
      </c>
      <c r="E8" s="12" t="str">
        <f>_xlfn.XLOOKUP(F8,'Mitigation Map'!O:O,'Mitigation Map'!N:N,"")</f>
        <v/>
      </c>
      <c r="F8" s="52">
        <f>_xlfn.XLOOKUP(B8,'Mitigation Map'!H:H, 'Mitigation Map'!O:O, "No Mitigation Found")</f>
        <v>0</v>
      </c>
      <c r="G8" s="12" t="str">
        <f>_xlfn.XLOOKUP(F8,'Mitigation Map'!O:O,'Mitigation Map'!P:P,"")</f>
        <v/>
      </c>
      <c r="H8" s="12" t="e">
        <f>_xlfn.XLOOKUP(F8,'Mitigation Map'!O:O,'Mitigation Map'!Q:Q)</f>
        <v>#N/A</v>
      </c>
      <c r="I8" s="14" t="str">
        <f>_xlfn.XLOOKUP(F8,'Mitigation Map'!O:O, 'Mitigation Map'!R:R, "")</f>
        <v/>
      </c>
      <c r="J8" s="130">
        <f t="shared" si="0"/>
        <v>45880</v>
      </c>
      <c r="K8" s="131" t="str">
        <f>IF(OR(J8="", _xlfn.XLOOKUP('Risk Treatment Plan'!F8, 'Mitigation Map'!O:O, 'Mitigation Map'!T:T, "")=""), "", J8 + _xlfn.XLOOKUP('Risk Treatment Plan'!F8, 'Mitigation Map'!O:O, 'Mitigation Map'!T:T))</f>
        <v/>
      </c>
      <c r="L8" s="14" t="str">
        <f>_xlfn.XLOOKUP(F8,'Mitigation Map'!O:O,'Mitigation Map'!U:U,"")</f>
        <v/>
      </c>
      <c r="M8" s="14" t="str">
        <f>_xlfn.XLOOKUP(F8,'Mitigation Map'!O:O,'Mitigation Map'!V:V,"")</f>
        <v/>
      </c>
    </row>
    <row r="9" spans="2:14" ht="107.25" customHeight="1">
      <c r="B9" s="52"/>
      <c r="C9" s="14"/>
      <c r="D9" s="14">
        <f>_xlfn.XLOOKUP(B9,'Mitigation Map'!H:H,'Mitigation Map'!M:M, "")</f>
        <v>0</v>
      </c>
      <c r="E9" s="12" t="str">
        <f>_xlfn.XLOOKUP(F9,'Mitigation Map'!O:O,'Mitigation Map'!N:N,"")</f>
        <v/>
      </c>
      <c r="F9" s="52">
        <f>_xlfn.XLOOKUP(B9,'Mitigation Map'!H:H, 'Mitigation Map'!O:O, "No Mitigation Found")</f>
        <v>0</v>
      </c>
      <c r="G9" s="12" t="str">
        <f>_xlfn.XLOOKUP(F9,'Mitigation Map'!O:O,'Mitigation Map'!P:P,"")</f>
        <v/>
      </c>
      <c r="H9" s="12" t="e">
        <f>_xlfn.XLOOKUP(F9,'Mitigation Map'!O:O,'Mitigation Map'!Q:Q)</f>
        <v>#N/A</v>
      </c>
      <c r="I9" s="14" t="str">
        <f>_xlfn.XLOOKUP(F9,'Mitigation Map'!O:O, 'Mitigation Map'!R:R, "")</f>
        <v/>
      </c>
      <c r="J9" s="130">
        <f t="shared" si="0"/>
        <v>45880</v>
      </c>
      <c r="K9" s="131" t="str">
        <f>IF(OR(J9="", _xlfn.XLOOKUP('Risk Treatment Plan'!F9, 'Mitigation Map'!O:O, 'Mitigation Map'!T:T, "")=""), "", J9 + _xlfn.XLOOKUP('Risk Treatment Plan'!F9, 'Mitigation Map'!O:O, 'Mitigation Map'!T:T))</f>
        <v/>
      </c>
      <c r="L9" s="14" t="str">
        <f>_xlfn.XLOOKUP(F9,'Mitigation Map'!O:O,'Mitigation Map'!U:U,"")</f>
        <v/>
      </c>
      <c r="M9" s="14" t="str">
        <f>_xlfn.XLOOKUP(F9,'Mitigation Map'!O:O,'Mitigation Map'!V:V,"")</f>
        <v/>
      </c>
    </row>
    <row r="10" spans="2:14">
      <c r="B10" s="52"/>
      <c r="C10" s="14"/>
      <c r="D10" s="14">
        <f>_xlfn.XLOOKUP(B10,'Mitigation Map'!H:H,'Mitigation Map'!M:M, "")</f>
        <v>0</v>
      </c>
      <c r="E10" s="12" t="str">
        <f>_xlfn.XLOOKUP(F10,'Mitigation Map'!O:O,'Mitigation Map'!N:N,"")</f>
        <v/>
      </c>
      <c r="F10" s="52">
        <f>_xlfn.XLOOKUP(B10,'Mitigation Map'!H:H, 'Mitigation Map'!O:O, "No Mitigation Found")</f>
        <v>0</v>
      </c>
      <c r="G10" s="12" t="str">
        <f>_xlfn.XLOOKUP(F10,'Mitigation Map'!O:O,'Mitigation Map'!P:P,"")</f>
        <v/>
      </c>
      <c r="H10" s="12" t="e">
        <f>_xlfn.XLOOKUP(F10,'Mitigation Map'!O:O,'Mitigation Map'!Q:Q)</f>
        <v>#N/A</v>
      </c>
      <c r="I10" s="14" t="str">
        <f>_xlfn.XLOOKUP(F10,'Mitigation Map'!O:O, 'Mitigation Map'!R:R, "")</f>
        <v/>
      </c>
      <c r="J10" s="130">
        <f t="shared" si="0"/>
        <v>45880</v>
      </c>
      <c r="K10" s="131" t="str">
        <f>IF(OR(J10="", _xlfn.XLOOKUP('Risk Treatment Plan'!F10, 'Mitigation Map'!O:O, 'Mitigation Map'!T:T, "")=""), "", J10 + _xlfn.XLOOKUP('Risk Treatment Plan'!F10, 'Mitigation Map'!O:O, 'Mitigation Map'!T:T))</f>
        <v/>
      </c>
      <c r="L10" s="14" t="str">
        <f>_xlfn.XLOOKUP(F10,'Mitigation Map'!O:O,'Mitigation Map'!U:U,"")</f>
        <v/>
      </c>
      <c r="M10" s="14" t="str">
        <f>_xlfn.XLOOKUP(F10,'Mitigation Map'!O:O,'Mitigation Map'!V:V,"")</f>
        <v/>
      </c>
    </row>
    <row r="11" spans="2:14" ht="164.25" customHeight="1">
      <c r="B11" s="52"/>
      <c r="C11" s="14"/>
      <c r="D11" s="14">
        <f>_xlfn.XLOOKUP(B11,'Mitigation Map'!H:H,'Mitigation Map'!M:M, "")</f>
        <v>0</v>
      </c>
      <c r="E11" s="12" t="str">
        <f>_xlfn.XLOOKUP(F11,'Mitigation Map'!O:O,'Mitigation Map'!N:N,"")</f>
        <v/>
      </c>
      <c r="F11" s="52">
        <f>_xlfn.XLOOKUP(B11,'Mitigation Map'!H:H, 'Mitigation Map'!O:O, "No Mitigation Found")</f>
        <v>0</v>
      </c>
      <c r="G11" s="12" t="str">
        <f>_xlfn.XLOOKUP(F11,'Mitigation Map'!O:O,'Mitigation Map'!P:P,"")</f>
        <v/>
      </c>
      <c r="H11" s="12" t="e">
        <f>_xlfn.XLOOKUP(F11,'Mitigation Map'!O:O,'Mitigation Map'!Q:Q)</f>
        <v>#N/A</v>
      </c>
      <c r="I11" s="14" t="str">
        <f>_xlfn.XLOOKUP(F11,'Mitigation Map'!O:O, 'Mitigation Map'!R:R, "")</f>
        <v/>
      </c>
      <c r="J11" s="130">
        <f t="shared" si="0"/>
        <v>45880</v>
      </c>
      <c r="K11" s="131" t="str">
        <f>IF(OR(J11="", _xlfn.XLOOKUP('Risk Treatment Plan'!F11, 'Mitigation Map'!O:O, 'Mitigation Map'!T:T, "")=""), "", J11 + _xlfn.XLOOKUP('Risk Treatment Plan'!F11, 'Mitigation Map'!O:O, 'Mitigation Map'!T:T))</f>
        <v/>
      </c>
      <c r="L11" s="14" t="str">
        <f>_xlfn.XLOOKUP(F11,'Mitigation Map'!O:O,'Mitigation Map'!U:U,"")</f>
        <v/>
      </c>
      <c r="M11" s="14" t="str">
        <f>_xlfn.XLOOKUP(F11,'Mitigation Map'!O:O,'Mitigation Map'!V:V,"")</f>
        <v/>
      </c>
      <c r="N11" s="96"/>
    </row>
    <row r="12" spans="2:14" ht="187.5" customHeight="1">
      <c r="B12" s="52"/>
      <c r="C12" s="14"/>
      <c r="D12" s="14">
        <f>_xlfn.XLOOKUP(B12,'Mitigation Map'!H:H,'Mitigation Map'!M:M, "")</f>
        <v>0</v>
      </c>
      <c r="E12" s="12" t="str">
        <f>_xlfn.XLOOKUP(F12,'Mitigation Map'!O:O,'Mitigation Map'!N:N,"")</f>
        <v/>
      </c>
      <c r="F12" s="52">
        <f>_xlfn.XLOOKUP(B12,'Mitigation Map'!H:H, 'Mitigation Map'!O:O, "No Mitigation Found")</f>
        <v>0</v>
      </c>
      <c r="G12" s="12" t="str">
        <f>_xlfn.XLOOKUP(F12,'Mitigation Map'!O:O,'Mitigation Map'!P:P,"")</f>
        <v/>
      </c>
      <c r="H12" s="12" t="e">
        <f>_xlfn.XLOOKUP(F12,'Mitigation Map'!O:O,'Mitigation Map'!Q:Q)</f>
        <v>#N/A</v>
      </c>
      <c r="I12" s="14" t="str">
        <f>_xlfn.XLOOKUP(F12,'Mitigation Map'!O:O, 'Mitigation Map'!R:R, "")</f>
        <v/>
      </c>
      <c r="J12" s="130">
        <f t="shared" si="0"/>
        <v>45880</v>
      </c>
      <c r="K12" s="131" t="str">
        <f>IF(OR(J12="", _xlfn.XLOOKUP('Risk Treatment Plan'!F12, 'Mitigation Map'!O:O, 'Mitigation Map'!T:T, "")=""), "", J12 + _xlfn.XLOOKUP('Risk Treatment Plan'!F12, 'Mitigation Map'!O:O, 'Mitigation Map'!T:T))</f>
        <v/>
      </c>
      <c r="L12" s="14" t="str">
        <f>_xlfn.XLOOKUP(F12,'Mitigation Map'!O:O,'Mitigation Map'!U:U,"")</f>
        <v/>
      </c>
      <c r="M12" s="14" t="str">
        <f>_xlfn.XLOOKUP(F12,'Mitigation Map'!O:O,'Mitigation Map'!V:V,"")</f>
        <v/>
      </c>
    </row>
    <row r="13" spans="2:14" ht="144.75" customHeight="1">
      <c r="B13" s="52"/>
      <c r="C13" s="14"/>
      <c r="D13" s="14">
        <f>_xlfn.XLOOKUP(B13,'Mitigation Map'!H:H,'Mitigation Map'!M:M, "")</f>
        <v>0</v>
      </c>
      <c r="E13" s="12" t="str">
        <f>_xlfn.XLOOKUP(F13,'Mitigation Map'!O:O,'Mitigation Map'!N:N,"")</f>
        <v/>
      </c>
      <c r="F13" s="52">
        <f>_xlfn.XLOOKUP(B13,'Mitigation Map'!H:H, 'Mitigation Map'!O:O, "No Mitigation Found")</f>
        <v>0</v>
      </c>
      <c r="G13" s="12" t="str">
        <f>_xlfn.XLOOKUP(F13,'Mitigation Map'!O:O,'Mitigation Map'!P:P,"")</f>
        <v/>
      </c>
      <c r="H13" s="12" t="e">
        <f>_xlfn.XLOOKUP(F13,'Mitigation Map'!O:O,'Mitigation Map'!Q:Q)</f>
        <v>#N/A</v>
      </c>
      <c r="I13" s="14" t="str">
        <f>_xlfn.XLOOKUP(F13,'Mitigation Map'!O:O, 'Mitigation Map'!R:R, "")</f>
        <v/>
      </c>
      <c r="J13" s="130">
        <f t="shared" si="0"/>
        <v>45880</v>
      </c>
      <c r="K13" s="131" t="str">
        <f>IF(OR(J13="", _xlfn.XLOOKUP('Risk Treatment Plan'!F13, 'Mitigation Map'!O:O, 'Mitigation Map'!T:T, "")=""), "", J13 + _xlfn.XLOOKUP('Risk Treatment Plan'!F13, 'Mitigation Map'!O:O, 'Mitigation Map'!T:T))</f>
        <v/>
      </c>
      <c r="L13" s="14" t="str">
        <f>_xlfn.XLOOKUP(F13,'Mitigation Map'!O:O,'Mitigation Map'!U:U,"")</f>
        <v/>
      </c>
      <c r="M13" s="14" t="str">
        <f>_xlfn.XLOOKUP(F13,'Mitigation Map'!O:O,'Mitigation Map'!V:V,"")</f>
        <v/>
      </c>
    </row>
    <row r="14" spans="2:14" ht="158.25" customHeight="1">
      <c r="B14" s="52"/>
      <c r="C14" s="14"/>
      <c r="D14" s="14">
        <f>_xlfn.XLOOKUP(B14,'Mitigation Map'!H:H,'Mitigation Map'!M:M, "")</f>
        <v>0</v>
      </c>
      <c r="E14" s="12" t="str">
        <f>_xlfn.XLOOKUP(F14,'Mitigation Map'!O:O,'Mitigation Map'!N:N,"")</f>
        <v/>
      </c>
      <c r="F14" s="52">
        <f>_xlfn.XLOOKUP(B14,'Mitigation Map'!H:H, 'Mitigation Map'!O:O, "No Mitigation Found")</f>
        <v>0</v>
      </c>
      <c r="G14" s="12" t="str">
        <f>_xlfn.XLOOKUP(F14,'Mitigation Map'!O:O,'Mitigation Map'!P:P,"")</f>
        <v/>
      </c>
      <c r="H14" s="12" t="e">
        <f>_xlfn.XLOOKUP(F14,'Mitigation Map'!O:O,'Mitigation Map'!Q:Q)</f>
        <v>#N/A</v>
      </c>
      <c r="I14" s="14" t="str">
        <f>_xlfn.XLOOKUP(F14,'Mitigation Map'!O:O, 'Mitigation Map'!R:R, "")</f>
        <v/>
      </c>
      <c r="J14" s="130">
        <f t="shared" si="0"/>
        <v>45880</v>
      </c>
      <c r="K14" s="131" t="str">
        <f>IF(OR(J14="", _xlfn.XLOOKUP('Risk Treatment Plan'!F14, 'Mitigation Map'!O:O, 'Mitigation Map'!T:T, "")=""), "", J14 + _xlfn.XLOOKUP('Risk Treatment Plan'!F14, 'Mitigation Map'!O:O, 'Mitigation Map'!T:T))</f>
        <v/>
      </c>
      <c r="L14" s="14" t="str">
        <f>_xlfn.XLOOKUP(F14,'Mitigation Map'!O:O,'Mitigation Map'!U:U,"")</f>
        <v/>
      </c>
      <c r="M14" s="14" t="str">
        <f>_xlfn.XLOOKUP(F14,'Mitigation Map'!O:O,'Mitigation Map'!V:V,"")</f>
        <v/>
      </c>
    </row>
    <row r="15" spans="2:14" ht="150.75" customHeight="1">
      <c r="B15" s="52"/>
      <c r="C15" s="14"/>
      <c r="D15" s="14">
        <f>_xlfn.XLOOKUP(B15,'Mitigation Map'!H:H,'Mitigation Map'!M:M, "")</f>
        <v>0</v>
      </c>
      <c r="E15" s="12" t="str">
        <f>_xlfn.XLOOKUP(F15,'Mitigation Map'!O:O,'Mitigation Map'!N:N,"")</f>
        <v/>
      </c>
      <c r="F15" s="52">
        <f>_xlfn.XLOOKUP(B15,'Mitigation Map'!H:H, 'Mitigation Map'!O:O, "No Mitigation Found")</f>
        <v>0</v>
      </c>
      <c r="G15" s="12" t="str">
        <f>_xlfn.XLOOKUP(F15,'Mitigation Map'!O:O,'Mitigation Map'!P:P,"")</f>
        <v/>
      </c>
      <c r="H15" s="12" t="e">
        <f>_xlfn.XLOOKUP(F15,'Mitigation Map'!O:O,'Mitigation Map'!Q:Q)</f>
        <v>#N/A</v>
      </c>
      <c r="I15" s="14" t="str">
        <f>_xlfn.XLOOKUP(F15,'Mitigation Map'!O:O, 'Mitigation Map'!R:R, "")</f>
        <v/>
      </c>
      <c r="J15" s="130">
        <f t="shared" si="0"/>
        <v>45880</v>
      </c>
      <c r="K15" s="131" t="str">
        <f>IF(OR(J15="", _xlfn.XLOOKUP('Risk Treatment Plan'!F15, 'Mitigation Map'!O:O, 'Mitigation Map'!T:T, "")=""), "", J15 + _xlfn.XLOOKUP('Risk Treatment Plan'!F15, 'Mitigation Map'!O:O, 'Mitigation Map'!T:T))</f>
        <v/>
      </c>
      <c r="L15" s="14" t="str">
        <f>_xlfn.XLOOKUP(F15,'Mitigation Map'!O:O,'Mitigation Map'!U:U,"")</f>
        <v/>
      </c>
      <c r="M15" s="14" t="str">
        <f>_xlfn.XLOOKUP(F15,'Mitigation Map'!O:O,'Mitigation Map'!V:V,"")</f>
        <v/>
      </c>
    </row>
    <row r="16" spans="2:14" ht="144" customHeight="1">
      <c r="B16" s="52"/>
      <c r="C16" s="14"/>
      <c r="D16" s="14">
        <f>_xlfn.XLOOKUP(B16,'Mitigation Map'!H:H,'Mitigation Map'!M:M, "")</f>
        <v>0</v>
      </c>
      <c r="E16" s="12" t="str">
        <f>_xlfn.XLOOKUP(F16,'Mitigation Map'!O:O,'Mitigation Map'!N:N,"")</f>
        <v/>
      </c>
      <c r="F16" s="52">
        <f>_xlfn.XLOOKUP(B16,'Mitigation Map'!H:H, 'Mitigation Map'!O:O, "No Mitigation Found")</f>
        <v>0</v>
      </c>
      <c r="G16" s="12" t="str">
        <f>_xlfn.XLOOKUP(F16,'Mitigation Map'!O:O,'Mitigation Map'!P:P,"")</f>
        <v/>
      </c>
      <c r="H16" s="12" t="e">
        <f>_xlfn.XLOOKUP(F16,'Mitigation Map'!O:O,'Mitigation Map'!Q:Q)</f>
        <v>#N/A</v>
      </c>
      <c r="I16" s="14" t="str">
        <f>_xlfn.XLOOKUP(F16,'Mitigation Map'!O:O, 'Mitigation Map'!R:R, "")</f>
        <v/>
      </c>
      <c r="J16" s="130">
        <f t="shared" si="0"/>
        <v>45880</v>
      </c>
      <c r="K16" s="131" t="str">
        <f>IF(OR(J16="", _xlfn.XLOOKUP('Risk Treatment Plan'!F16, 'Mitigation Map'!O:O, 'Mitigation Map'!T:T, "")=""), "", J16 + _xlfn.XLOOKUP('Risk Treatment Plan'!F16, 'Mitigation Map'!O:O, 'Mitigation Map'!T:T))</f>
        <v/>
      </c>
      <c r="L16" s="14" t="str">
        <f>_xlfn.XLOOKUP(F16,'Mitigation Map'!O:O,'Mitigation Map'!U:U,"")</f>
        <v/>
      </c>
      <c r="M16" s="14" t="str">
        <f>_xlfn.XLOOKUP(F16,'Mitigation Map'!O:O,'Mitigation Map'!V:V,"")</f>
        <v/>
      </c>
    </row>
    <row r="17" spans="2:14" ht="145.5" customHeight="1">
      <c r="B17" s="111"/>
      <c r="C17" s="62"/>
      <c r="D17" s="14">
        <f>_xlfn.XLOOKUP(B17,'Mitigation Map'!H:H,'Mitigation Map'!M:M, "")</f>
        <v>0</v>
      </c>
      <c r="E17" s="12" t="str">
        <f>_xlfn.XLOOKUP(F17,'Mitigation Map'!O:O,'Mitigation Map'!N:N,"")</f>
        <v/>
      </c>
      <c r="F17" s="52">
        <f>_xlfn.XLOOKUP(B17,'Mitigation Map'!H:H, 'Mitigation Map'!O:O, "No Mitigation Found")</f>
        <v>0</v>
      </c>
      <c r="G17" s="12" t="str">
        <f>_xlfn.XLOOKUP(F17,'Mitigation Map'!O:O,'Mitigation Map'!P:P,"")</f>
        <v/>
      </c>
      <c r="H17" s="12" t="e">
        <f>_xlfn.XLOOKUP(F17,'Mitigation Map'!O:O,'Mitigation Map'!Q:Q)</f>
        <v>#N/A</v>
      </c>
      <c r="I17" s="14" t="str">
        <f>_xlfn.XLOOKUP(F17,'Mitigation Map'!O:O, 'Mitigation Map'!R:R, "")</f>
        <v/>
      </c>
      <c r="J17" s="130">
        <f t="shared" si="0"/>
        <v>45880</v>
      </c>
      <c r="K17" s="131" t="str">
        <f>IF(OR(J17="", _xlfn.XLOOKUP('Risk Treatment Plan'!F17, 'Mitigation Map'!O:O, 'Mitigation Map'!T:T, "")=""), "", J17 + _xlfn.XLOOKUP('Risk Treatment Plan'!F17, 'Mitigation Map'!O:O, 'Mitigation Map'!T:T))</f>
        <v/>
      </c>
      <c r="L17" s="14" t="str">
        <f>_xlfn.XLOOKUP(F17,'Mitigation Map'!O:O,'Mitigation Map'!U:U,"")</f>
        <v/>
      </c>
      <c r="M17" s="14" t="str">
        <f>_xlfn.XLOOKUP(F17,'Mitigation Map'!O:O,'Mitigation Map'!V:V,"")</f>
        <v/>
      </c>
    </row>
    <row r="18" spans="2:14" ht="149.25" customHeight="1">
      <c r="B18" s="132"/>
      <c r="C18" s="133"/>
      <c r="D18" s="14">
        <f>_xlfn.XLOOKUP(B18,'Mitigation Map'!H:H,'Mitigation Map'!M:M, "")</f>
        <v>0</v>
      </c>
      <c r="E18" s="12" t="str">
        <f>_xlfn.XLOOKUP(F18,'Mitigation Map'!O:O,'Mitigation Map'!N:N,"")</f>
        <v/>
      </c>
      <c r="F18" s="52">
        <f>_xlfn.XLOOKUP(B18,'Mitigation Map'!H:H, 'Mitigation Map'!O:O, "No Mitigation Found")</f>
        <v>0</v>
      </c>
      <c r="G18" s="12" t="str">
        <f>_xlfn.XLOOKUP(F18,'Mitigation Map'!O:O,'Mitigation Map'!P:P,"")</f>
        <v/>
      </c>
      <c r="H18" s="12" t="e">
        <f>_xlfn.XLOOKUP(F18,'Mitigation Map'!O:O,'Mitigation Map'!Q:Q)</f>
        <v>#N/A</v>
      </c>
      <c r="I18" s="14" t="str">
        <f>_xlfn.XLOOKUP(F18,'Mitigation Map'!O:O, 'Mitigation Map'!R:R, "")</f>
        <v/>
      </c>
      <c r="J18" s="130">
        <f t="shared" si="0"/>
        <v>45880</v>
      </c>
      <c r="K18" s="131" t="str">
        <f>IF(OR(J18="", _xlfn.XLOOKUP('Risk Treatment Plan'!F18, 'Mitigation Map'!O:O, 'Mitigation Map'!T:T, "")=""), "", J18 + _xlfn.XLOOKUP('Risk Treatment Plan'!F18, 'Mitigation Map'!O:O, 'Mitigation Map'!T:T))</f>
        <v/>
      </c>
      <c r="L18" s="14" t="str">
        <f>_xlfn.XLOOKUP(F18,'Mitigation Map'!O:O,'Mitigation Map'!U:U,"")</f>
        <v/>
      </c>
      <c r="M18" s="14" t="str">
        <f>_xlfn.XLOOKUP(F18,'Mitigation Map'!O:O,'Mitigation Map'!V:V,"")</f>
        <v/>
      </c>
      <c r="N18" s="96"/>
    </row>
    <row r="19" spans="2:14" ht="151.5" customHeight="1">
      <c r="B19" s="132"/>
      <c r="C19" s="133"/>
      <c r="D19" s="14">
        <f>_xlfn.XLOOKUP(B19,'Mitigation Map'!H:H,'Mitigation Map'!M:M, "")</f>
        <v>0</v>
      </c>
      <c r="E19" s="12" t="str">
        <f>_xlfn.XLOOKUP(F19,'Mitigation Map'!O:O,'Mitigation Map'!N:N,"")</f>
        <v/>
      </c>
      <c r="F19" s="52">
        <f>_xlfn.XLOOKUP(B19,'Mitigation Map'!H:H, 'Mitigation Map'!O:O, "No Mitigation Found")</f>
        <v>0</v>
      </c>
      <c r="G19" s="12" t="str">
        <f>_xlfn.XLOOKUP(F19,'Mitigation Map'!O:O,'Mitigation Map'!P:P,"")</f>
        <v/>
      </c>
      <c r="H19" s="12" t="e">
        <f>_xlfn.XLOOKUP(F19,'Mitigation Map'!O:O,'Mitigation Map'!Q:Q)</f>
        <v>#N/A</v>
      </c>
      <c r="I19" s="14" t="str">
        <f>_xlfn.XLOOKUP(F19,'Mitigation Map'!O:O, 'Mitigation Map'!R:R, "")</f>
        <v/>
      </c>
      <c r="J19" s="130">
        <f t="shared" si="0"/>
        <v>45880</v>
      </c>
      <c r="K19" s="131" t="str">
        <f>IF(OR(J19="", _xlfn.XLOOKUP('Risk Treatment Plan'!F19, 'Mitigation Map'!O:O, 'Mitigation Map'!T:T, "")=""), "", J19 + _xlfn.XLOOKUP('Risk Treatment Plan'!F19, 'Mitigation Map'!O:O, 'Mitigation Map'!T:T))</f>
        <v/>
      </c>
      <c r="L19" s="14" t="str">
        <f>_xlfn.XLOOKUP(F19,'Mitigation Map'!O:O,'Mitigation Map'!U:U,"")</f>
        <v/>
      </c>
      <c r="M19" s="14" t="str">
        <f>_xlfn.XLOOKUP(F19,'Mitigation Map'!O:O,'Mitigation Map'!V:V,"")</f>
        <v/>
      </c>
      <c r="N19" s="96"/>
    </row>
    <row r="20" spans="2:14" ht="157.5" customHeight="1">
      <c r="B20" s="134"/>
      <c r="C20" s="135"/>
      <c r="D20" s="14">
        <f>_xlfn.XLOOKUP(B20,'Mitigation Map'!H:H,'Mitigation Map'!M:M, "")</f>
        <v>0</v>
      </c>
      <c r="E20" s="12" t="str">
        <f>_xlfn.XLOOKUP(F20,'Mitigation Map'!O:O,'Mitigation Map'!N:N,"")</f>
        <v/>
      </c>
      <c r="F20" s="52">
        <f>_xlfn.XLOOKUP(B20,'Mitigation Map'!H:H, 'Mitigation Map'!O:O, "No Mitigation Found")</f>
        <v>0</v>
      </c>
      <c r="G20" s="12" t="str">
        <f>_xlfn.XLOOKUP(F20,'Mitigation Map'!O:O,'Mitigation Map'!P:P,"")</f>
        <v/>
      </c>
      <c r="H20" s="12" t="e">
        <f>_xlfn.XLOOKUP(F20,'Mitigation Map'!O:O,'Mitigation Map'!Q:Q)</f>
        <v>#N/A</v>
      </c>
      <c r="I20" s="14" t="str">
        <f>_xlfn.XLOOKUP(F20,'Mitigation Map'!O:O, 'Mitigation Map'!R:R, "")</f>
        <v/>
      </c>
      <c r="J20" s="130">
        <f t="shared" si="0"/>
        <v>45880</v>
      </c>
      <c r="K20" s="131" t="str">
        <f>IF(OR(J20="", _xlfn.XLOOKUP('Risk Treatment Plan'!F20, 'Mitigation Map'!O:O, 'Mitigation Map'!T:T, "")=""), "", J20 + _xlfn.XLOOKUP('Risk Treatment Plan'!F20, 'Mitigation Map'!O:O, 'Mitigation Map'!T:T))</f>
        <v/>
      </c>
      <c r="L20" s="14" t="str">
        <f>_xlfn.XLOOKUP(F20,'Mitigation Map'!O:O,'Mitigation Map'!U:U,"")</f>
        <v/>
      </c>
      <c r="M20" s="14" t="str">
        <f>_xlfn.XLOOKUP(F20,'Mitigation Map'!O:O,'Mitigation Map'!V:V,"")</f>
        <v/>
      </c>
      <c r="N20" s="96"/>
    </row>
    <row r="21" spans="2:14" ht="157.5" customHeight="1">
      <c r="B21" s="111"/>
      <c r="C21" s="62"/>
      <c r="D21" s="66">
        <f>_xlfn.XLOOKUP(B21,'Mitigation Map'!H:H,'Mitigation Map'!M:M, "")</f>
        <v>0</v>
      </c>
      <c r="E21" s="12" t="str">
        <f>_xlfn.XLOOKUP(F21,'Mitigation Map'!O:O,'Mitigation Map'!N:N,"")</f>
        <v/>
      </c>
      <c r="F21" s="111">
        <f>_xlfn.XLOOKUP(B21,'Mitigation Map'!H:H, 'Mitigation Map'!O:O, "No Mitigation Found")</f>
        <v>0</v>
      </c>
      <c r="G21" s="12" t="str">
        <f>_xlfn.XLOOKUP(F21,'Mitigation Map'!O:O,'Mitigation Map'!P:P,"")</f>
        <v/>
      </c>
      <c r="H21" s="12" t="e">
        <f>_xlfn.XLOOKUP(F21,'Mitigation Map'!O:O,'Mitigation Map'!Q:Q)</f>
        <v>#N/A</v>
      </c>
      <c r="I21" s="62" t="str">
        <f>_xlfn.XLOOKUP(F21,'Mitigation Map'!O:O, 'Mitigation Map'!R:R, "")</f>
        <v/>
      </c>
      <c r="J21" s="130">
        <f t="shared" si="0"/>
        <v>45880</v>
      </c>
      <c r="K21" s="131" t="str">
        <f>IF(OR(J21="", _xlfn.XLOOKUP('Risk Treatment Plan'!F21, 'Mitigation Map'!O:O, 'Mitigation Map'!T:T, "")=""), "", J21 + _xlfn.XLOOKUP('Risk Treatment Plan'!F21, 'Mitigation Map'!O:O, 'Mitigation Map'!T:T))</f>
        <v/>
      </c>
      <c r="L21" s="14" t="str">
        <f>_xlfn.XLOOKUP(F21,'Mitigation Map'!O:O,'Mitigation Map'!U:U,"")</f>
        <v/>
      </c>
      <c r="M21" s="14" t="str">
        <f>_xlfn.XLOOKUP(F21,'Mitigation Map'!O:O,'Mitigation Map'!V:V,"")</f>
        <v/>
      </c>
      <c r="N21" s="96"/>
    </row>
    <row r="22" spans="2:14" ht="137.25" customHeight="1">
      <c r="B22" s="111"/>
      <c r="C22" s="62"/>
      <c r="D22" s="62">
        <f>_xlfn.XLOOKUP(B22,'Mitigation Map'!H:H,'Mitigation Map'!M:M, "")</f>
        <v>0</v>
      </c>
      <c r="E22" s="12" t="str">
        <f>_xlfn.XLOOKUP(F22,'Mitigation Map'!O:O,'Mitigation Map'!N:N,"")</f>
        <v/>
      </c>
      <c r="F22" s="111">
        <f>_xlfn.XLOOKUP(B22,'Mitigation Map'!H:H, 'Mitigation Map'!O:O, "No Mitigation Found")</f>
        <v>0</v>
      </c>
      <c r="G22" s="12" t="str">
        <f>_xlfn.XLOOKUP(F22,'Mitigation Map'!O:O,'Mitigation Map'!P:P,"")</f>
        <v/>
      </c>
      <c r="H22" s="12" t="e">
        <f>_xlfn.XLOOKUP(F22,'Mitigation Map'!O:O,'Mitigation Map'!Q:Q)</f>
        <v>#N/A</v>
      </c>
      <c r="I22" s="62" t="str">
        <f>_xlfn.XLOOKUP(F22,'Mitigation Map'!O:O, 'Mitigation Map'!R:R, "")</f>
        <v/>
      </c>
      <c r="J22" s="130">
        <f t="shared" si="0"/>
        <v>45880</v>
      </c>
      <c r="K22" s="131" t="str">
        <f>IF(OR(J22="", _xlfn.XLOOKUP('Risk Treatment Plan'!F22, 'Mitigation Map'!O:O, 'Mitigation Map'!T:T, "")=""), "", J22 + _xlfn.XLOOKUP('Risk Treatment Plan'!F22, 'Mitigation Map'!O:O, 'Mitigation Map'!T:T))</f>
        <v/>
      </c>
      <c r="L22" s="14" t="str">
        <f>_xlfn.XLOOKUP(F22,'Mitigation Map'!O:O,'Mitigation Map'!U:U,"")</f>
        <v/>
      </c>
      <c r="M22" s="14" t="str">
        <f>_xlfn.XLOOKUP(F22,'Mitigation Map'!O:O,'Mitigation Map'!V:V,"")</f>
        <v/>
      </c>
      <c r="N22" s="96"/>
    </row>
    <row r="23" spans="2:14" ht="173.25" customHeight="1">
      <c r="B23" s="52"/>
      <c r="C23" s="14"/>
      <c r="D23" s="14">
        <f>_xlfn.XLOOKUP(B23,'Mitigation Map'!H:H,'Mitigation Map'!M:M, "")</f>
        <v>0</v>
      </c>
      <c r="E23" s="12" t="str">
        <f>_xlfn.XLOOKUP(F23,'Mitigation Map'!O:O,'Mitigation Map'!N:N,"")</f>
        <v/>
      </c>
      <c r="F23" s="52">
        <f>_xlfn.XLOOKUP(B23,'Mitigation Map'!H:H, 'Mitigation Map'!O:O, "No Mitigation Found")</f>
        <v>0</v>
      </c>
      <c r="G23" s="12" t="str">
        <f>_xlfn.XLOOKUP(F23,'Mitigation Map'!O:O,'Mitigation Map'!P:P,"")</f>
        <v/>
      </c>
      <c r="H23" s="12" t="e">
        <f>_xlfn.XLOOKUP(F23,'Mitigation Map'!O:O,'Mitigation Map'!Q:Q)</f>
        <v>#N/A</v>
      </c>
      <c r="I23" s="14" t="str">
        <f>_xlfn.XLOOKUP(F23,'Mitigation Map'!O:O, 'Mitigation Map'!R:R, "")</f>
        <v/>
      </c>
      <c r="J23" s="130">
        <f t="shared" si="0"/>
        <v>45880</v>
      </c>
      <c r="K23" s="131" t="str">
        <f>IF(OR(J23="", _xlfn.XLOOKUP('Risk Treatment Plan'!F23, 'Mitigation Map'!O:O, 'Mitigation Map'!T:T, "")=""), "", J23 + _xlfn.XLOOKUP('Risk Treatment Plan'!F23, 'Mitigation Map'!O:O, 'Mitigation Map'!T:T))</f>
        <v/>
      </c>
      <c r="L23" s="14" t="str">
        <f>_xlfn.XLOOKUP(F23,'Mitigation Map'!O:O,'Mitigation Map'!U:U,"")</f>
        <v/>
      </c>
      <c r="M23" s="14" t="str">
        <f>_xlfn.XLOOKUP(F23,'Mitigation Map'!O:O,'Mitigation Map'!V:V,"")</f>
        <v/>
      </c>
      <c r="N23" s="96"/>
    </row>
    <row r="24" spans="2:14" ht="140.25" customHeight="1">
      <c r="B24" s="52"/>
      <c r="C24" s="14"/>
      <c r="D24" s="14">
        <f>_xlfn.XLOOKUP(B24,'Mitigation Map'!H:H,'Mitigation Map'!M:M, "")</f>
        <v>0</v>
      </c>
      <c r="E24" s="12" t="str">
        <f>_xlfn.XLOOKUP(F24,'Mitigation Map'!O:O,'Mitigation Map'!N:N,"")</f>
        <v/>
      </c>
      <c r="F24" s="52">
        <f>_xlfn.XLOOKUP(B24,'Mitigation Map'!H:H, 'Mitigation Map'!O:O, "No Mitigation Found")</f>
        <v>0</v>
      </c>
      <c r="G24" s="12" t="str">
        <f>_xlfn.XLOOKUP(F24,'Mitigation Map'!O:O,'Mitigation Map'!P:P,"")</f>
        <v/>
      </c>
      <c r="H24" s="12" t="e">
        <f>_xlfn.XLOOKUP(F24,'Mitigation Map'!O:O,'Mitigation Map'!Q:Q)</f>
        <v>#N/A</v>
      </c>
      <c r="I24" s="14" t="str">
        <f>_xlfn.XLOOKUP(F24,'Mitigation Map'!O:O, 'Mitigation Map'!R:R, "")</f>
        <v/>
      </c>
      <c r="J24" s="130">
        <f t="shared" si="0"/>
        <v>45880</v>
      </c>
      <c r="K24" s="131" t="str">
        <f>IF(OR(J24="", _xlfn.XLOOKUP('Risk Treatment Plan'!F24, 'Mitigation Map'!O:O, 'Mitigation Map'!T:T, "")=""), "", J24 + _xlfn.XLOOKUP('Risk Treatment Plan'!F24, 'Mitigation Map'!O:O, 'Mitigation Map'!T:T))</f>
        <v/>
      </c>
      <c r="L24" s="14" t="str">
        <f>_xlfn.XLOOKUP(F24,'Mitigation Map'!O:O,'Mitigation Map'!U:U,"")</f>
        <v/>
      </c>
      <c r="M24" s="14" t="str">
        <f>_xlfn.XLOOKUP(F24,'Mitigation Map'!O:O,'Mitigation Map'!V:V,"")</f>
        <v/>
      </c>
      <c r="N24" s="96"/>
    </row>
    <row r="25" spans="2:14" ht="133.5" customHeight="1">
      <c r="B25" s="111"/>
      <c r="C25" s="62"/>
      <c r="D25" s="62">
        <f>_xlfn.XLOOKUP(B25,'Mitigation Map'!H:H,'Mitigation Map'!M:M, "")</f>
        <v>0</v>
      </c>
      <c r="E25" s="12" t="str">
        <f>_xlfn.XLOOKUP(F25,'Mitigation Map'!O:O,'Mitigation Map'!N:N,"")</f>
        <v/>
      </c>
      <c r="F25" s="111">
        <f>_xlfn.XLOOKUP(B25,'Mitigation Map'!H:H, 'Mitigation Map'!O:O, "No Mitigation Found")</f>
        <v>0</v>
      </c>
      <c r="G25" s="12" t="str">
        <f>_xlfn.XLOOKUP(F25,'Mitigation Map'!O:O,'Mitigation Map'!P:P,"")</f>
        <v/>
      </c>
      <c r="H25" s="12" t="e">
        <f>_xlfn.XLOOKUP(F25,'Mitigation Map'!O:O,'Mitigation Map'!Q:Q)</f>
        <v>#N/A</v>
      </c>
      <c r="I25" s="62" t="str">
        <f>_xlfn.XLOOKUP(F25,'Mitigation Map'!O:O, 'Mitigation Map'!R:R, "")</f>
        <v/>
      </c>
      <c r="J25" s="130">
        <f t="shared" si="0"/>
        <v>45880</v>
      </c>
      <c r="K25" s="131" t="str">
        <f>IF(OR(J25="", _xlfn.XLOOKUP('Risk Treatment Plan'!F25, 'Mitigation Map'!O:O, 'Mitigation Map'!T:T, "")=""), "", J25 + _xlfn.XLOOKUP('Risk Treatment Plan'!F25, 'Mitigation Map'!O:O, 'Mitigation Map'!T:T))</f>
        <v/>
      </c>
      <c r="L25" s="14" t="str">
        <f>_xlfn.XLOOKUP(F25,'Mitigation Map'!O:O,'Mitigation Map'!U:U,"")</f>
        <v/>
      </c>
      <c r="M25" s="14" t="str">
        <f>_xlfn.XLOOKUP(F25,'Mitigation Map'!O:O,'Mitigation Map'!V:V,"")</f>
        <v/>
      </c>
      <c r="N25" s="96"/>
    </row>
    <row r="26" spans="2:14" ht="164.25" customHeight="1">
      <c r="B26" s="52"/>
      <c r="C26" s="14"/>
      <c r="D26" s="62">
        <f>_xlfn.XLOOKUP(B26,'Mitigation Map'!H:H,'Mitigation Map'!M:M, "")</f>
        <v>0</v>
      </c>
      <c r="E26" s="12" t="str">
        <f>_xlfn.XLOOKUP(F26,'Mitigation Map'!O:O,'Mitigation Map'!N:N,"")</f>
        <v/>
      </c>
      <c r="F26" s="111">
        <f>_xlfn.XLOOKUP(B26,'Mitigation Map'!H:H, 'Mitigation Map'!O:O, "No Mitigation Found")</f>
        <v>0</v>
      </c>
      <c r="G26" s="12" t="str">
        <f>_xlfn.XLOOKUP(F26,'Mitigation Map'!O:O,'Mitigation Map'!P:P,"")</f>
        <v/>
      </c>
      <c r="H26" s="12" t="e">
        <f>_xlfn.XLOOKUP(F26,'Mitigation Map'!O:O,'Mitigation Map'!Q:Q)</f>
        <v>#N/A</v>
      </c>
      <c r="I26" s="62" t="str">
        <f>_xlfn.XLOOKUP(F26,'Mitigation Map'!O:O, 'Mitigation Map'!R:R, "")</f>
        <v/>
      </c>
      <c r="J26" s="130">
        <f t="shared" si="0"/>
        <v>45880</v>
      </c>
      <c r="K26" s="131" t="str">
        <f>IF(OR(J26="", _xlfn.XLOOKUP('Risk Treatment Plan'!F26, 'Mitigation Map'!O:O, 'Mitigation Map'!T:T, "")=""), "", J26 + _xlfn.XLOOKUP('Risk Treatment Plan'!F26, 'Mitigation Map'!O:O, 'Mitigation Map'!T:T))</f>
        <v/>
      </c>
      <c r="L26" s="14" t="str">
        <f>_xlfn.XLOOKUP(F26,'Mitigation Map'!O:O,'Mitigation Map'!U:U,"")</f>
        <v/>
      </c>
      <c r="M26" s="14" t="str">
        <f>_xlfn.XLOOKUP(F26,'Mitigation Map'!O:O,'Mitigation Map'!V:V,"")</f>
        <v/>
      </c>
      <c r="N26" s="96"/>
    </row>
    <row r="27" spans="2:14" ht="156" customHeight="1">
      <c r="B27" s="52"/>
      <c r="C27" s="14"/>
      <c r="D27" s="62">
        <f>_xlfn.XLOOKUP(B27,'Mitigation Map'!H:H,'Mitigation Map'!M:M, "")</f>
        <v>0</v>
      </c>
      <c r="E27" s="12" t="str">
        <f>_xlfn.XLOOKUP(F27,'Mitigation Map'!O:O,'Mitigation Map'!N:N,"")</f>
        <v/>
      </c>
      <c r="F27" s="111">
        <f>_xlfn.XLOOKUP(B27,'Mitigation Map'!H:H, 'Mitigation Map'!O:O, "No Mitigation Found")</f>
        <v>0</v>
      </c>
      <c r="G27" s="12" t="str">
        <f>_xlfn.XLOOKUP(F27,'Mitigation Map'!O:O,'Mitigation Map'!P:P,"")</f>
        <v/>
      </c>
      <c r="H27" s="12" t="e">
        <f>_xlfn.XLOOKUP(F27,'Mitigation Map'!O:O,'Mitigation Map'!Q:Q)</f>
        <v>#N/A</v>
      </c>
      <c r="I27" s="62" t="str">
        <f>_xlfn.XLOOKUP(F27,'Mitigation Map'!O:O, 'Mitigation Map'!R:R, "")</f>
        <v/>
      </c>
      <c r="J27" s="130">
        <f t="shared" si="0"/>
        <v>45880</v>
      </c>
      <c r="K27" s="131" t="str">
        <f>IF(OR(J27="", _xlfn.XLOOKUP('Risk Treatment Plan'!F27, 'Mitigation Map'!O:O, 'Mitigation Map'!T:T, "")=""), "", J27 + _xlfn.XLOOKUP('Risk Treatment Plan'!F27, 'Mitigation Map'!O:O, 'Mitigation Map'!T:T))</f>
        <v/>
      </c>
      <c r="L27" s="14" t="str">
        <f>_xlfn.XLOOKUP(F27,'Mitigation Map'!O:O,'Mitigation Map'!U:U,"")</f>
        <v/>
      </c>
      <c r="M27" s="14" t="str">
        <f>_xlfn.XLOOKUP(F27,'Mitigation Map'!O:O,'Mitigation Map'!V:V,"")</f>
        <v/>
      </c>
    </row>
    <row r="28" spans="2:14" ht="127.5" customHeight="1">
      <c r="B28" s="52"/>
      <c r="C28" s="14"/>
      <c r="D28" s="62">
        <f>_xlfn.XLOOKUP(B28,'Mitigation Map'!H:H,'Mitigation Map'!M:M, "")</f>
        <v>0</v>
      </c>
      <c r="E28" s="12" t="str">
        <f>_xlfn.XLOOKUP(F28,'Mitigation Map'!O:O,'Mitigation Map'!N:N,"")</f>
        <v/>
      </c>
      <c r="F28" s="111">
        <f>_xlfn.XLOOKUP(B28,'Mitigation Map'!H:H, 'Mitigation Map'!O:O, "No Mitigation Found")</f>
        <v>0</v>
      </c>
      <c r="G28" s="12" t="str">
        <f>_xlfn.XLOOKUP(F28,'Mitigation Map'!O:O,'Mitigation Map'!P:P,"")</f>
        <v/>
      </c>
      <c r="H28" s="12" t="e">
        <f>_xlfn.XLOOKUP(F28,'Mitigation Map'!O:O,'Mitigation Map'!Q:Q)</f>
        <v>#N/A</v>
      </c>
      <c r="I28" s="62" t="str">
        <f>_xlfn.XLOOKUP(F28,'Mitigation Map'!O:O, 'Mitigation Map'!R:R, "")</f>
        <v/>
      </c>
      <c r="J28" s="130">
        <f t="shared" si="0"/>
        <v>45880</v>
      </c>
      <c r="K28" s="131" t="str">
        <f>IF(OR(J28="", _xlfn.XLOOKUP('Risk Treatment Plan'!F28, 'Mitigation Map'!O:O, 'Mitigation Map'!T:T, "")=""), "", J28 + _xlfn.XLOOKUP('Risk Treatment Plan'!F28, 'Mitigation Map'!O:O, 'Mitigation Map'!T:T))</f>
        <v/>
      </c>
      <c r="L28" s="14" t="str">
        <f>_xlfn.XLOOKUP(F28,'Mitigation Map'!O:O,'Mitigation Map'!U:U,"")</f>
        <v/>
      </c>
      <c r="M28" s="14" t="str">
        <f>_xlfn.XLOOKUP(F28,'Mitigation Map'!O:O,'Mitigation Map'!V:V,"")</f>
        <v/>
      </c>
    </row>
    <row r="29" spans="2:14" ht="198" customHeight="1">
      <c r="B29" s="52"/>
      <c r="C29" s="14"/>
      <c r="D29" s="62">
        <f>_xlfn.XLOOKUP(B29,'Mitigation Map'!H:H,'Mitigation Map'!M:M, "")</f>
        <v>0</v>
      </c>
      <c r="E29" s="12" t="str">
        <f>_xlfn.XLOOKUP(F29,'Mitigation Map'!O:O,'Mitigation Map'!N:N,"")</f>
        <v/>
      </c>
      <c r="F29" s="111">
        <f>_xlfn.XLOOKUP(B29,'Mitigation Map'!H:H, 'Mitigation Map'!O:O, "No Mitigation Found")</f>
        <v>0</v>
      </c>
      <c r="G29" s="12" t="str">
        <f>_xlfn.XLOOKUP(F29,'Mitigation Map'!O:O,'Mitigation Map'!P:P,"")</f>
        <v/>
      </c>
      <c r="H29" s="12" t="e">
        <f>_xlfn.XLOOKUP(F29,'Mitigation Map'!O:O,'Mitigation Map'!Q:Q)</f>
        <v>#N/A</v>
      </c>
      <c r="I29" s="62" t="str">
        <f>_xlfn.XLOOKUP(F29,'Mitigation Map'!O:O, 'Mitigation Map'!R:R, "")</f>
        <v/>
      </c>
      <c r="J29" s="130">
        <f t="shared" si="0"/>
        <v>45880</v>
      </c>
      <c r="K29" s="131" t="str">
        <f>IF(OR(J29="", _xlfn.XLOOKUP('Risk Treatment Plan'!F29, 'Mitigation Map'!O:O, 'Mitigation Map'!T:T, "")=""), "", J29 + _xlfn.XLOOKUP('Risk Treatment Plan'!F29, 'Mitigation Map'!O:O, 'Mitigation Map'!T:T))</f>
        <v/>
      </c>
      <c r="L29" s="14" t="str">
        <f>_xlfn.XLOOKUP(F29,'Mitigation Map'!O:O,'Mitigation Map'!U:U,"")</f>
        <v/>
      </c>
      <c r="M29" s="14" t="str">
        <f>_xlfn.XLOOKUP(F29,'Mitigation Map'!O:O,'Mitigation Map'!V:V,"")</f>
        <v/>
      </c>
    </row>
    <row r="30" spans="2:14" ht="187.5" customHeight="1">
      <c r="B30" s="111"/>
      <c r="C30" s="62"/>
      <c r="D30" s="62">
        <f>_xlfn.XLOOKUP(B30,'Mitigation Map'!H:H,'Mitigation Map'!M:M, "")</f>
        <v>0</v>
      </c>
      <c r="E30" s="12" t="str">
        <f>_xlfn.XLOOKUP(F30,'Mitigation Map'!O:O,'Mitigation Map'!N:N,"")</f>
        <v/>
      </c>
      <c r="F30" s="111">
        <f>_xlfn.XLOOKUP(B30,'Mitigation Map'!H:H, 'Mitigation Map'!O:O, "No Mitigation Found")</f>
        <v>0</v>
      </c>
      <c r="G30" s="12" t="str">
        <f>_xlfn.XLOOKUP(F30,'Mitigation Map'!O:O,'Mitigation Map'!P:P,"")</f>
        <v/>
      </c>
      <c r="H30" s="12" t="e">
        <f>_xlfn.XLOOKUP(F30,'Mitigation Map'!O:O,'Mitigation Map'!Q:Q)</f>
        <v>#N/A</v>
      </c>
      <c r="I30" s="62" t="str">
        <f>_xlfn.XLOOKUP(F30,'Mitigation Map'!O:O, 'Mitigation Map'!R:R, "")</f>
        <v/>
      </c>
      <c r="J30" s="130">
        <f t="shared" si="0"/>
        <v>45880</v>
      </c>
      <c r="K30" s="131" t="str">
        <f>IF(OR(J30="", _xlfn.XLOOKUP('Risk Treatment Plan'!F30, 'Mitigation Map'!O:O, 'Mitigation Map'!T:T, "")=""), "", J30 + _xlfn.XLOOKUP('Risk Treatment Plan'!F30, 'Mitigation Map'!O:O, 'Mitigation Map'!T:T))</f>
        <v/>
      </c>
      <c r="L30" s="14" t="str">
        <f>_xlfn.XLOOKUP(F30,'Mitigation Map'!O:O,'Mitigation Map'!U:U,"")</f>
        <v/>
      </c>
      <c r="M30" s="14" t="str">
        <f>_xlfn.XLOOKUP(F30,'Mitigation Map'!O:O,'Mitigation Map'!V:V,"")</f>
        <v/>
      </c>
    </row>
    <row r="31" spans="2:14" ht="181.5" customHeight="1">
      <c r="B31" s="52"/>
      <c r="C31" s="14"/>
      <c r="D31" s="14">
        <f>_xlfn.XLOOKUP(B31,'Mitigation Map'!H:H,'Mitigation Map'!M:M, "")</f>
        <v>0</v>
      </c>
      <c r="E31" s="12" t="str">
        <f>_xlfn.XLOOKUP(F31,'Mitigation Map'!O:O,'Mitigation Map'!N:N,"")</f>
        <v/>
      </c>
      <c r="F31" s="52">
        <f>_xlfn.XLOOKUP(B31,'Mitigation Map'!H:H, 'Mitigation Map'!O:O, "No Mitigation Found")</f>
        <v>0</v>
      </c>
      <c r="G31" s="12" t="str">
        <f>_xlfn.XLOOKUP(F31,'Mitigation Map'!O:O,'Mitigation Map'!P:P,"")</f>
        <v/>
      </c>
      <c r="H31" s="12" t="e">
        <f>_xlfn.XLOOKUP(F31,'Mitigation Map'!O:O,'Mitigation Map'!Q:Q)</f>
        <v>#N/A</v>
      </c>
      <c r="I31" s="14" t="str">
        <f>_xlfn.XLOOKUP(F31,'Mitigation Map'!O:O, 'Mitigation Map'!R:R, "")</f>
        <v/>
      </c>
      <c r="J31" s="130">
        <f t="shared" si="0"/>
        <v>45880</v>
      </c>
      <c r="K31" s="131" t="str">
        <f>IF(OR(J31="", _xlfn.XLOOKUP('Risk Treatment Plan'!F31, 'Mitigation Map'!O:O, 'Mitigation Map'!T:T, "")=""), "", J31 + _xlfn.XLOOKUP('Risk Treatment Plan'!F31, 'Mitigation Map'!O:O, 'Mitigation Map'!T:T))</f>
        <v/>
      </c>
      <c r="L31" s="14" t="str">
        <f>_xlfn.XLOOKUP(F31,'Mitigation Map'!O:O,'Mitigation Map'!U:U,"")</f>
        <v/>
      </c>
      <c r="M31" s="14" t="str">
        <f>_xlfn.XLOOKUP(F31,'Mitigation Map'!O:O,'Mitigation Map'!V:V,"")</f>
        <v/>
      </c>
    </row>
    <row r="32" spans="2:14" ht="181.5" customHeight="1">
      <c r="B32" s="52"/>
      <c r="C32" s="14"/>
      <c r="D32" s="14">
        <f>_xlfn.XLOOKUP(B32,'Mitigation Map'!H:H,'Mitigation Map'!M:M, "")</f>
        <v>0</v>
      </c>
      <c r="E32" s="12" t="str">
        <f>_xlfn.XLOOKUP(F32,'Mitigation Map'!O:O,'Mitigation Map'!N:N,"")</f>
        <v/>
      </c>
      <c r="F32" s="52">
        <f>_xlfn.XLOOKUP(B32,'Mitigation Map'!H:H, 'Mitigation Map'!O:O, "No Mitigation Found")</f>
        <v>0</v>
      </c>
      <c r="G32" s="12" t="str">
        <f>_xlfn.XLOOKUP(F32,'Mitigation Map'!O:O,'Mitigation Map'!P:P,"")</f>
        <v/>
      </c>
      <c r="H32" s="12" t="e">
        <f>_xlfn.XLOOKUP(F32,'Mitigation Map'!O:O,'Mitigation Map'!Q:Q)</f>
        <v>#N/A</v>
      </c>
      <c r="I32" s="14" t="str">
        <f>_xlfn.XLOOKUP(F32,'Mitigation Map'!O:O, 'Mitigation Map'!R:R, "")</f>
        <v/>
      </c>
      <c r="J32" s="130">
        <f t="shared" si="0"/>
        <v>45880</v>
      </c>
      <c r="K32" s="131" t="str">
        <f>IF(OR(J32="", _xlfn.XLOOKUP('Risk Treatment Plan'!F32, 'Mitigation Map'!O:O, 'Mitigation Map'!T:T, "")=""), "", J32 + _xlfn.XLOOKUP('Risk Treatment Plan'!F32, 'Mitigation Map'!O:O, 'Mitigation Map'!T:T))</f>
        <v/>
      </c>
      <c r="L32" s="14" t="str">
        <f>_xlfn.XLOOKUP(F32,'Mitigation Map'!O:O,'Mitigation Map'!U:U,"")</f>
        <v/>
      </c>
      <c r="M32" s="14" t="str">
        <f>_xlfn.XLOOKUP(F32,'Mitigation Map'!O:O,'Mitigation Map'!V:V,"")</f>
        <v/>
      </c>
    </row>
    <row r="33" spans="2:14" ht="181.5" customHeight="1">
      <c r="B33" s="111"/>
      <c r="C33" s="62"/>
      <c r="D33" s="62">
        <f>_xlfn.XLOOKUP(B33,'Mitigation Map'!H:H,'Mitigation Map'!M:M, "")</f>
        <v>0</v>
      </c>
      <c r="E33" s="12" t="str">
        <f>_xlfn.XLOOKUP(F33,'Mitigation Map'!O:O,'Mitigation Map'!N:N,"")</f>
        <v/>
      </c>
      <c r="F33" s="111">
        <f>_xlfn.XLOOKUP(B33,'Mitigation Map'!H:H, 'Mitigation Map'!O:O, "No Mitigation Found")</f>
        <v>0</v>
      </c>
      <c r="G33" s="12" t="str">
        <f>_xlfn.XLOOKUP(F33,'Mitigation Map'!O:O,'Mitigation Map'!P:P,"")</f>
        <v/>
      </c>
      <c r="H33" s="12" t="e">
        <f>_xlfn.XLOOKUP(F33,'Mitigation Map'!O:O,'Mitigation Map'!Q:Q)</f>
        <v>#N/A</v>
      </c>
      <c r="I33" s="62" t="str">
        <f>_xlfn.XLOOKUP(F33,'Mitigation Map'!O:O, 'Mitigation Map'!R:R, "")</f>
        <v/>
      </c>
      <c r="J33" s="130">
        <f t="shared" si="0"/>
        <v>45880</v>
      </c>
      <c r="K33" s="131" t="str">
        <f>IF(OR(J33="", _xlfn.XLOOKUP('Risk Treatment Plan'!F33, 'Mitigation Map'!O:O, 'Mitigation Map'!T:T, "")=""), "", J33 + _xlfn.XLOOKUP('Risk Treatment Plan'!F33, 'Mitigation Map'!O:O, 'Mitigation Map'!T:T))</f>
        <v/>
      </c>
      <c r="L33" s="14" t="str">
        <f>_xlfn.XLOOKUP(F33,'Mitigation Map'!O:O,'Mitigation Map'!U:U,"")</f>
        <v/>
      </c>
      <c r="M33" s="14" t="str">
        <f>_xlfn.XLOOKUP(F33,'Mitigation Map'!O:O,'Mitigation Map'!V:V,"")</f>
        <v/>
      </c>
    </row>
    <row r="34" spans="2:14" ht="199.5" customHeight="1">
      <c r="B34" s="52"/>
      <c r="C34" s="14"/>
      <c r="D34" s="14">
        <f>_xlfn.XLOOKUP(B34,'Mitigation Map'!H:H,'Mitigation Map'!M:M, "")</f>
        <v>0</v>
      </c>
      <c r="E34" s="12" t="str">
        <f>_xlfn.XLOOKUP(F34,'Mitigation Map'!O:O,'Mitigation Map'!N:N,"")</f>
        <v/>
      </c>
      <c r="F34" s="52">
        <f>_xlfn.XLOOKUP(B34,'Mitigation Map'!H:H, 'Mitigation Map'!O:O, "No Mitigation Found")</f>
        <v>0</v>
      </c>
      <c r="G34" s="12" t="str">
        <f>_xlfn.XLOOKUP(F34,'Mitigation Map'!O:O,'Mitigation Map'!P:P,"")</f>
        <v/>
      </c>
      <c r="H34" s="12" t="e">
        <f>_xlfn.XLOOKUP(F34,'Mitigation Map'!O:O,'Mitigation Map'!Q:Q)</f>
        <v>#N/A</v>
      </c>
      <c r="I34" s="14" t="str">
        <f>_xlfn.XLOOKUP(F34,'Mitigation Map'!O:O, 'Mitigation Map'!R:R, "")</f>
        <v/>
      </c>
      <c r="J34" s="130">
        <f t="shared" si="0"/>
        <v>45880</v>
      </c>
      <c r="K34" s="131" t="str">
        <f>IF(OR(J34="", _xlfn.XLOOKUP('Risk Treatment Plan'!F34, 'Mitigation Map'!O:O, 'Mitigation Map'!T:T, "")=""), "", J34 + _xlfn.XLOOKUP('Risk Treatment Plan'!F34, 'Mitigation Map'!O:O, 'Mitigation Map'!T:T))</f>
        <v/>
      </c>
      <c r="L34" s="79" t="str">
        <f>_xlfn.XLOOKUP(F34,'Mitigation Map'!O:O,'Mitigation Map'!U:U,"")</f>
        <v/>
      </c>
      <c r="M34" s="14" t="str">
        <f>_xlfn.XLOOKUP(F34,'Mitigation Map'!O:O,'Mitigation Map'!V:V,"")</f>
        <v/>
      </c>
    </row>
    <row r="35" spans="2:14" ht="179.25" customHeight="1">
      <c r="B35" s="111"/>
      <c r="C35" s="62"/>
      <c r="D35" s="62">
        <f>_xlfn.XLOOKUP(B35,'Mitigation Map'!H:H,'Mitigation Map'!M:M, "")</f>
        <v>0</v>
      </c>
      <c r="E35" s="12" t="str">
        <f>_xlfn.XLOOKUP(F35,'Mitigation Map'!O:O,'Mitigation Map'!N:N,"")</f>
        <v/>
      </c>
      <c r="F35" s="111">
        <f>_xlfn.XLOOKUP(B35,'Mitigation Map'!H:H, 'Mitigation Map'!O:O, "No Mitigation Found")</f>
        <v>0</v>
      </c>
      <c r="G35" s="12" t="str">
        <f>_xlfn.XLOOKUP(F35,'Mitigation Map'!O:O,'Mitigation Map'!P:P,"")</f>
        <v/>
      </c>
      <c r="H35" s="12" t="e">
        <f>_xlfn.XLOOKUP(F35,'Mitigation Map'!O:O,'Mitigation Map'!Q:Q)</f>
        <v>#N/A</v>
      </c>
      <c r="I35" s="62" t="str">
        <f>_xlfn.XLOOKUP(F35,'Mitigation Map'!O:O, 'Mitigation Map'!R:R, "")</f>
        <v/>
      </c>
      <c r="J35" s="130">
        <f t="shared" si="0"/>
        <v>45880</v>
      </c>
      <c r="K35" s="131" t="str">
        <f>IF(OR(J35="", _xlfn.XLOOKUP('Risk Treatment Plan'!F35, 'Mitigation Map'!O:O, 'Mitigation Map'!T:T, "")=""), "", J35 + _xlfn.XLOOKUP('Risk Treatment Plan'!F35, 'Mitigation Map'!O:O, 'Mitigation Map'!T:T))</f>
        <v/>
      </c>
      <c r="L35" s="79" t="str">
        <f>_xlfn.XLOOKUP(F35,'Mitigation Map'!O:O,'Mitigation Map'!U:U,"")</f>
        <v/>
      </c>
      <c r="M35" s="14" t="str">
        <f>_xlfn.XLOOKUP(F35,'Mitigation Map'!O:O,'Mitigation Map'!V:V,"")</f>
        <v/>
      </c>
    </row>
    <row r="36" spans="2:14" ht="267.75" customHeight="1">
      <c r="B36" s="132"/>
      <c r="C36" s="133"/>
      <c r="D36" s="62">
        <f>_xlfn.XLOOKUP(B36,'Mitigation Map'!H:H,'Mitigation Map'!M:M, "")</f>
        <v>0</v>
      </c>
      <c r="E36" s="12" t="str">
        <f>_xlfn.XLOOKUP(F36,'Mitigation Map'!O:O,'Mitigation Map'!N:N,"")</f>
        <v/>
      </c>
      <c r="F36" s="111">
        <f>_xlfn.XLOOKUP(B36,'Mitigation Map'!H:H, 'Mitigation Map'!O:O, "No Mitigation Found")</f>
        <v>0</v>
      </c>
      <c r="G36" s="12" t="str">
        <f>_xlfn.XLOOKUP(F36,'Mitigation Map'!O:O,'Mitigation Map'!P:P,"")</f>
        <v/>
      </c>
      <c r="H36" s="12" t="e">
        <f>_xlfn.XLOOKUP(F36,'Mitigation Map'!O:O,'Mitigation Map'!Q:Q)</f>
        <v>#N/A</v>
      </c>
      <c r="I36" s="62" t="str">
        <f>_xlfn.XLOOKUP(F36,'Mitigation Map'!O:O, 'Mitigation Map'!R:R, "")</f>
        <v/>
      </c>
      <c r="J36" s="130">
        <f t="shared" si="0"/>
        <v>45880</v>
      </c>
      <c r="K36" s="131" t="str">
        <f>IF(OR(J36="", _xlfn.XLOOKUP('Risk Treatment Plan'!F36, 'Mitigation Map'!O:O, 'Mitigation Map'!T:T, "")=""), "", J36 + _xlfn.XLOOKUP('Risk Treatment Plan'!F36, 'Mitigation Map'!O:O, 'Mitigation Map'!T:T))</f>
        <v/>
      </c>
      <c r="L36" s="79" t="str">
        <f>_xlfn.XLOOKUP(F36,'Mitigation Map'!O:O,'Mitigation Map'!U:U,"")</f>
        <v/>
      </c>
      <c r="M36" s="14" t="str">
        <f>_xlfn.XLOOKUP(F36,'Mitigation Map'!O:O,'Mitigation Map'!V:V,"")</f>
        <v/>
      </c>
    </row>
    <row r="37" spans="2:14" ht="255.75" customHeight="1">
      <c r="B37" s="132"/>
      <c r="C37" s="133"/>
      <c r="D37" s="62">
        <f>_xlfn.XLOOKUP(B37,'Mitigation Map'!H:H,'Mitigation Map'!M:M, "")</f>
        <v>0</v>
      </c>
      <c r="E37" s="12" t="str">
        <f>_xlfn.XLOOKUP(F37,'Mitigation Map'!O:O,'Mitigation Map'!N:N,"")</f>
        <v/>
      </c>
      <c r="F37" s="111">
        <f>_xlfn.XLOOKUP(B37,'Mitigation Map'!H:H, 'Mitigation Map'!O:O, "No Mitigation Found")</f>
        <v>0</v>
      </c>
      <c r="G37" s="12" t="str">
        <f>_xlfn.XLOOKUP(F37,'Mitigation Map'!O:O,'Mitigation Map'!P:P,"")</f>
        <v/>
      </c>
      <c r="H37" s="12" t="e">
        <f>_xlfn.XLOOKUP(F37,'Mitigation Map'!O:O,'Mitigation Map'!Q:Q)</f>
        <v>#N/A</v>
      </c>
      <c r="I37" s="62" t="str">
        <f>_xlfn.XLOOKUP(F37,'Mitigation Map'!O:O, 'Mitigation Map'!R:R, "")</f>
        <v/>
      </c>
      <c r="J37" s="130">
        <f t="shared" si="0"/>
        <v>45880</v>
      </c>
      <c r="K37" s="131" t="str">
        <f>IF(OR(J37="", _xlfn.XLOOKUP('Risk Treatment Plan'!F37, 'Mitigation Map'!O:O, 'Mitigation Map'!T:T, "")=""), "", J37 + _xlfn.XLOOKUP('Risk Treatment Plan'!F37, 'Mitigation Map'!O:O, 'Mitigation Map'!T:T))</f>
        <v/>
      </c>
      <c r="L37" s="79" t="str">
        <f>_xlfn.XLOOKUP(F37,'Mitigation Map'!O:O,'Mitigation Map'!U:U,"")</f>
        <v/>
      </c>
      <c r="M37" s="14" t="str">
        <f>_xlfn.XLOOKUP(F37,'Mitigation Map'!O:O,'Mitigation Map'!V:V,"")</f>
        <v/>
      </c>
    </row>
    <row r="38" spans="2:14" ht="215.25" customHeight="1">
      <c r="B38" s="134"/>
      <c r="C38" s="135"/>
      <c r="D38" s="62">
        <f>_xlfn.XLOOKUP(B38,'Mitigation Map'!H:H,'Mitigation Map'!M:M, "")</f>
        <v>0</v>
      </c>
      <c r="E38" s="68" t="str">
        <f>_xlfn.XLOOKUP(F38,'Mitigation Map'!O:O,'Mitigation Map'!N:N,"")</f>
        <v/>
      </c>
      <c r="F38" s="111">
        <f>_xlfn.XLOOKUP(B38,'Mitigation Map'!H:H, 'Mitigation Map'!O:O, "No Mitigation Found")</f>
        <v>0</v>
      </c>
      <c r="G38" s="68" t="str">
        <f>_xlfn.XLOOKUP(F38,'Mitigation Map'!O:O,'Mitigation Map'!P:P,"")</f>
        <v/>
      </c>
      <c r="H38" s="68" t="e">
        <f>_xlfn.XLOOKUP(F38,'Mitigation Map'!O:O,'Mitigation Map'!Q:Q)</f>
        <v>#N/A</v>
      </c>
      <c r="I38" s="62" t="str">
        <f>_xlfn.XLOOKUP(F38,'Mitigation Map'!O:O, 'Mitigation Map'!R:R, "")</f>
        <v/>
      </c>
      <c r="J38" s="130">
        <f t="shared" si="0"/>
        <v>45880</v>
      </c>
      <c r="K38" s="131" t="str">
        <f>IF(OR(J38="", _xlfn.XLOOKUP('Risk Treatment Plan'!F38, 'Mitigation Map'!O:O, 'Mitigation Map'!T:T, "")=""), "", J38 + _xlfn.XLOOKUP('Risk Treatment Plan'!F38, 'Mitigation Map'!O:O, 'Mitigation Map'!T:T))</f>
        <v/>
      </c>
      <c r="L38" s="58" t="str">
        <f>_xlfn.XLOOKUP(F38,'Mitigation Map'!O:O,'Mitigation Map'!U:U,"")</f>
        <v/>
      </c>
      <c r="M38" s="62" t="str">
        <f>_xlfn.XLOOKUP(F38,'Mitigation Map'!O:O,'Mitigation Map'!V:V,"")</f>
        <v/>
      </c>
    </row>
    <row r="39" spans="2:14" ht="218.25" customHeight="1">
      <c r="B39" s="52"/>
      <c r="C39" s="14"/>
      <c r="D39" s="14">
        <f>_xlfn.XLOOKUP(B39,'Mitigation Map'!H:H,'Mitigation Map'!M:M, "")</f>
        <v>0</v>
      </c>
      <c r="E39" s="12" t="str">
        <f>_xlfn.XLOOKUP(F39,'Mitigation Map'!O:O,'Mitigation Map'!N:N,"")</f>
        <v/>
      </c>
      <c r="F39" s="52">
        <f>_xlfn.XLOOKUP(B39,'Mitigation Map'!H:H, 'Mitigation Map'!O:O, "No Mitigation Found")</f>
        <v>0</v>
      </c>
      <c r="G39" s="12" t="str">
        <f>_xlfn.XLOOKUP(F39,'Mitigation Map'!O:O,'Mitigation Map'!P:P,"")</f>
        <v/>
      </c>
      <c r="H39" s="12" t="e">
        <f>_xlfn.XLOOKUP(F39,'Mitigation Map'!O:O,'Mitigation Map'!Q:Q)</f>
        <v>#N/A</v>
      </c>
      <c r="I39" s="14" t="str">
        <f>_xlfn.XLOOKUP(F39,'Mitigation Map'!O:O, 'Mitigation Map'!R:R, "")</f>
        <v/>
      </c>
      <c r="J39" s="130">
        <f t="shared" si="0"/>
        <v>45880</v>
      </c>
      <c r="K39" s="131" t="str">
        <f>IF(OR(J39="", _xlfn.XLOOKUP('Risk Treatment Plan'!F39, 'Mitigation Map'!O:O, 'Mitigation Map'!T:T, "")=""), "", J39 + _xlfn.XLOOKUP('Risk Treatment Plan'!F39, 'Mitigation Map'!O:O, 'Mitigation Map'!T:T))</f>
        <v/>
      </c>
      <c r="L39" s="14" t="str">
        <f>_xlfn.XLOOKUP(F39,'Mitigation Map'!O:O,'Mitigation Map'!U:U,"")</f>
        <v/>
      </c>
      <c r="M39" s="14" t="str">
        <f>_xlfn.XLOOKUP(F39,'Mitigation Map'!O:O,'Mitigation Map'!V:V,"")</f>
        <v/>
      </c>
    </row>
    <row r="40" spans="2:14" ht="164.25" customHeight="1">
      <c r="B40" s="52"/>
      <c r="C40" s="14"/>
      <c r="D40" s="14">
        <f>_xlfn.XLOOKUP(B40,'Mitigation Map'!H:H,'Mitigation Map'!M:M, "")</f>
        <v>0</v>
      </c>
      <c r="E40" s="12" t="str">
        <f>_xlfn.XLOOKUP(F40,'Mitigation Map'!O:O,'Mitigation Map'!N:N,"")</f>
        <v/>
      </c>
      <c r="F40" s="52">
        <f>_xlfn.XLOOKUP(B40,'Mitigation Map'!H:H, 'Mitigation Map'!O:O, "No Mitigation Found")</f>
        <v>0</v>
      </c>
      <c r="G40" s="12" t="str">
        <f>_xlfn.XLOOKUP(F40,'Mitigation Map'!O:O,'Mitigation Map'!P:P,"")</f>
        <v/>
      </c>
      <c r="H40" s="12" t="e">
        <f>_xlfn.XLOOKUP(F40,'Mitigation Map'!O:O,'Mitigation Map'!Q:Q)</f>
        <v>#N/A</v>
      </c>
      <c r="I40" s="14" t="str">
        <f>_xlfn.XLOOKUP(F40,'Mitigation Map'!O:O, 'Mitigation Map'!R:R, "")</f>
        <v/>
      </c>
      <c r="J40" s="130">
        <f t="shared" si="0"/>
        <v>45880</v>
      </c>
      <c r="K40" s="131" t="str">
        <f>IF(OR(J40="", _xlfn.XLOOKUP('Risk Treatment Plan'!F40, 'Mitigation Map'!O:O, 'Mitigation Map'!T:T, "")=""), "", J40 + _xlfn.XLOOKUP('Risk Treatment Plan'!F40, 'Mitigation Map'!O:O, 'Mitigation Map'!T:T))</f>
        <v/>
      </c>
      <c r="L40" s="14" t="str">
        <f>_xlfn.XLOOKUP(F40,'Mitigation Map'!O:O,'Mitigation Map'!U:U,"")</f>
        <v/>
      </c>
      <c r="M40" s="14" t="str">
        <f>_xlfn.XLOOKUP(F40,'Mitigation Map'!O:O,'Mitigation Map'!V:V,"")</f>
        <v/>
      </c>
    </row>
    <row r="41" spans="2:14" ht="267.75" customHeight="1">
      <c r="B41" s="52"/>
      <c r="C41" s="14"/>
      <c r="D41" s="14">
        <f>_xlfn.XLOOKUP(B41,'Mitigation Map'!H:H,'Mitigation Map'!M:M, "")</f>
        <v>0</v>
      </c>
      <c r="E41" s="12" t="str">
        <f>_xlfn.XLOOKUP(F41,'Mitigation Map'!O:O,'Mitigation Map'!N:N,"")</f>
        <v/>
      </c>
      <c r="F41" s="52">
        <f>_xlfn.XLOOKUP(B41,'Mitigation Map'!H:H, 'Mitigation Map'!O:O, "No Mitigation Found")</f>
        <v>0</v>
      </c>
      <c r="G41" s="12" t="str">
        <f>_xlfn.XLOOKUP(F41,'Mitigation Map'!O:O,'Mitigation Map'!P:P,"")</f>
        <v/>
      </c>
      <c r="H41" s="12" t="e">
        <f>_xlfn.XLOOKUP(F41,'Mitigation Map'!O:O,'Mitigation Map'!Q:Q)</f>
        <v>#N/A</v>
      </c>
      <c r="I41" s="14" t="str">
        <f>_xlfn.XLOOKUP(F41,'Mitigation Map'!O:O, 'Mitigation Map'!R:R, "")</f>
        <v/>
      </c>
      <c r="J41" s="130">
        <f t="shared" si="0"/>
        <v>45880</v>
      </c>
      <c r="K41" s="131" t="str">
        <f>IF(OR(J41="", _xlfn.XLOOKUP('Risk Treatment Plan'!F41, 'Mitigation Map'!O:O, 'Mitigation Map'!T:T, "")=""), "", J41 + _xlfn.XLOOKUP('Risk Treatment Plan'!F41, 'Mitigation Map'!O:O, 'Mitigation Map'!T:T))</f>
        <v/>
      </c>
      <c r="L41" s="14" t="str">
        <f>_xlfn.XLOOKUP(F41,'Mitigation Map'!O:O,'Mitigation Map'!U:U,"")</f>
        <v/>
      </c>
      <c r="M41" s="14" t="str">
        <f>_xlfn.XLOOKUP(F41,'Mitigation Map'!O:O,'Mitigation Map'!V:V,"")</f>
        <v/>
      </c>
    </row>
    <row r="42" spans="2:14">
      <c r="B42" s="52"/>
      <c r="C42" s="14"/>
      <c r="D42" s="14">
        <f>_xlfn.XLOOKUP(B42,'Mitigation Map'!H:H,'Mitigation Map'!M:M, "")</f>
        <v>0</v>
      </c>
      <c r="E42" s="12" t="str">
        <f>_xlfn.XLOOKUP(F42,'Mitigation Map'!O:O,'Mitigation Map'!N:N,"")</f>
        <v/>
      </c>
      <c r="F42" s="52">
        <f>_xlfn.XLOOKUP(B42,'Mitigation Map'!H:H, 'Mitigation Map'!O:O, "No Mitigation Found")</f>
        <v>0</v>
      </c>
      <c r="G42" s="12" t="str">
        <f>_xlfn.XLOOKUP(F42,'Mitigation Map'!O:O,'Mitigation Map'!P:P,"")</f>
        <v/>
      </c>
      <c r="H42" s="12" t="e">
        <f>_xlfn.XLOOKUP(F42,'Mitigation Map'!O:O,'Mitigation Map'!Q:Q)</f>
        <v>#N/A</v>
      </c>
      <c r="I42" s="14" t="str">
        <f>_xlfn.XLOOKUP(F42,'Mitigation Map'!O:O, 'Mitigation Map'!R:R, "")</f>
        <v/>
      </c>
      <c r="J42" s="130">
        <f t="shared" si="0"/>
        <v>45880</v>
      </c>
      <c r="K42" s="131" t="str">
        <f>IF(OR(J42="", _xlfn.XLOOKUP('Risk Treatment Plan'!F42, 'Mitigation Map'!O:O, 'Mitigation Map'!T:T, "")=""), "", J42 + _xlfn.XLOOKUP('Risk Treatment Plan'!F42, 'Mitigation Map'!O:O, 'Mitigation Map'!T:T))</f>
        <v/>
      </c>
      <c r="L42" s="14" t="str">
        <f>_xlfn.XLOOKUP(F42,'Mitigation Map'!O:O,'Mitigation Map'!U:U,"")</f>
        <v/>
      </c>
      <c r="M42" s="14" t="str">
        <f>_xlfn.XLOOKUP(F42,'Mitigation Map'!O:O,'Mitigation Map'!V:V,"")</f>
        <v/>
      </c>
      <c r="N42" s="96"/>
    </row>
    <row r="43" spans="2:14">
      <c r="B43" s="52"/>
      <c r="C43" s="14"/>
      <c r="D43" s="14">
        <f>_xlfn.XLOOKUP(B43,'Mitigation Map'!H:H,'Mitigation Map'!M:M, "")</f>
        <v>0</v>
      </c>
      <c r="E43" s="12" t="str">
        <f>_xlfn.XLOOKUP(F43,'Mitigation Map'!O:O,'Mitigation Map'!N:N,"")</f>
        <v/>
      </c>
      <c r="F43" s="52">
        <f>_xlfn.XLOOKUP(B43,'Mitigation Map'!H:H, 'Mitigation Map'!O:O, "No Mitigation Found")</f>
        <v>0</v>
      </c>
      <c r="G43" s="12" t="str">
        <f>_xlfn.XLOOKUP(F43,'Mitigation Map'!O:O,'Mitigation Map'!P:P,"")</f>
        <v/>
      </c>
      <c r="H43" s="12" t="e">
        <f>_xlfn.XLOOKUP(F43,'Mitigation Map'!O:O,'Mitigation Map'!Q:Q)</f>
        <v>#N/A</v>
      </c>
      <c r="I43" s="14" t="str">
        <f>_xlfn.XLOOKUP(F43,'Mitigation Map'!O:O, 'Mitigation Map'!R:R, "")</f>
        <v/>
      </c>
      <c r="J43" s="130">
        <f t="shared" si="0"/>
        <v>45880</v>
      </c>
      <c r="K43" s="131" t="str">
        <f>IF(OR(J43="", _xlfn.XLOOKUP('Risk Treatment Plan'!F43, 'Mitigation Map'!O:O, 'Mitigation Map'!T:T, "")=""), "", J43 + _xlfn.XLOOKUP('Risk Treatment Plan'!F43, 'Mitigation Map'!O:O, 'Mitigation Map'!T:T))</f>
        <v/>
      </c>
      <c r="L43" s="14" t="str">
        <f>_xlfn.XLOOKUP(F43,'Mitigation Map'!O:O,'Mitigation Map'!U:U,"")</f>
        <v/>
      </c>
      <c r="M43" s="14" t="str">
        <f>_xlfn.XLOOKUP(F43,'Mitigation Map'!O:O,'Mitigation Map'!V:V,"")</f>
        <v/>
      </c>
    </row>
    <row r="44" spans="2:14" ht="209.25" customHeight="1">
      <c r="B44" s="52"/>
      <c r="C44" s="14"/>
      <c r="D44" s="14">
        <f>_xlfn.XLOOKUP(B44,'Mitigation Map'!H:H,'Mitigation Map'!M:M, "")</f>
        <v>0</v>
      </c>
      <c r="E44" s="12" t="str">
        <f>_xlfn.XLOOKUP(F44,'Mitigation Map'!O:O,'Mitigation Map'!N:N,"")</f>
        <v/>
      </c>
      <c r="F44" s="52">
        <f>_xlfn.XLOOKUP(B44,'Mitigation Map'!H:H, 'Mitigation Map'!O:O, "No Mitigation Found")</f>
        <v>0</v>
      </c>
      <c r="G44" s="12" t="str">
        <f>_xlfn.XLOOKUP(F44,'Mitigation Map'!O:O,'Mitigation Map'!P:P,"")</f>
        <v/>
      </c>
      <c r="H44" s="12" t="e">
        <f>_xlfn.XLOOKUP(F44,'Mitigation Map'!O:O,'Mitigation Map'!Q:Q)</f>
        <v>#N/A</v>
      </c>
      <c r="I44" s="14" t="str">
        <f>_xlfn.XLOOKUP(F44,'Mitigation Map'!O:O, 'Mitigation Map'!R:R, "")</f>
        <v/>
      </c>
      <c r="J44" s="130">
        <f t="shared" si="0"/>
        <v>45880</v>
      </c>
      <c r="K44" s="131" t="str">
        <f>IF(OR(J44="", _xlfn.XLOOKUP('Risk Treatment Plan'!F44, 'Mitigation Map'!O:O, 'Mitigation Map'!T:T, "")=""), "", J44 + _xlfn.XLOOKUP('Risk Treatment Plan'!F44, 'Mitigation Map'!O:O, 'Mitigation Map'!T:T))</f>
        <v/>
      </c>
      <c r="L44" s="14" t="str">
        <f>_xlfn.XLOOKUP(F44,'Mitigation Map'!O:O,'Mitigation Map'!U:U,"")</f>
        <v/>
      </c>
      <c r="M44" s="14" t="str">
        <f>_xlfn.XLOOKUP(F44,'Mitigation Map'!O:O,'Mitigation Map'!V:V,"")</f>
        <v/>
      </c>
    </row>
    <row r="45" spans="2:14" ht="224.1" customHeight="1">
      <c r="B45" s="52"/>
      <c r="C45" s="14"/>
      <c r="D45" s="14">
        <f>_xlfn.XLOOKUP(B45,'Mitigation Map'!H:H,'Mitigation Map'!M:M, "")</f>
        <v>0</v>
      </c>
      <c r="E45" s="12" t="str">
        <f>_xlfn.XLOOKUP(F45,'Mitigation Map'!O:O,'Mitigation Map'!N:N,"")</f>
        <v/>
      </c>
      <c r="F45" s="52">
        <f>_xlfn.XLOOKUP(B45,'Mitigation Map'!H:H, 'Mitigation Map'!O:O, "No Mitigation Found")</f>
        <v>0</v>
      </c>
      <c r="G45" s="12" t="str">
        <f>_xlfn.XLOOKUP(F45,'Mitigation Map'!O:O,'Mitigation Map'!P:P,"")</f>
        <v/>
      </c>
      <c r="H45" s="12" t="e">
        <f>_xlfn.XLOOKUP(F45,'Mitigation Map'!O:O,'Mitigation Map'!Q:Q)</f>
        <v>#N/A</v>
      </c>
      <c r="I45" s="14" t="str">
        <f>_xlfn.XLOOKUP(F45,'Mitigation Map'!O:O, 'Mitigation Map'!R:R, "")</f>
        <v/>
      </c>
      <c r="J45" s="130">
        <f t="shared" si="0"/>
        <v>45880</v>
      </c>
      <c r="K45" s="131" t="str">
        <f>IF(OR(J45="", _xlfn.XLOOKUP('Risk Treatment Plan'!F45, 'Mitigation Map'!O:O, 'Mitigation Map'!T:T, "")=""), "", J45 + _xlfn.XLOOKUP('Risk Treatment Plan'!F45, 'Mitigation Map'!O:O, 'Mitigation Map'!T:T))</f>
        <v/>
      </c>
      <c r="L45" s="14" t="str">
        <f>_xlfn.XLOOKUP(F45,'Mitigation Map'!O:O,'Mitigation Map'!U:U,"")</f>
        <v/>
      </c>
      <c r="M45" s="14" t="str">
        <f>_xlfn.XLOOKUP(F45,'Mitigation Map'!O:O,'Mitigation Map'!V:V,"")</f>
        <v/>
      </c>
    </row>
    <row r="46" spans="2:14" ht="256.5" customHeight="1">
      <c r="B46" s="52"/>
      <c r="C46" s="14"/>
      <c r="D46" s="14">
        <f>_xlfn.XLOOKUP(B46,'Mitigation Map'!H:H,'Mitigation Map'!M:M, "")</f>
        <v>0</v>
      </c>
      <c r="E46" s="12" t="str">
        <f>_xlfn.XLOOKUP(F46,'Mitigation Map'!O:O,'Mitigation Map'!N:N,"")</f>
        <v/>
      </c>
      <c r="F46" s="52">
        <f>_xlfn.XLOOKUP(B46,'Mitigation Map'!H:H, 'Mitigation Map'!O:O, "No Mitigation Found")</f>
        <v>0</v>
      </c>
      <c r="G46" s="12" t="str">
        <f>_xlfn.XLOOKUP(F46,'Mitigation Map'!O:O,'Mitigation Map'!P:P,"")</f>
        <v/>
      </c>
      <c r="H46" s="12" t="e">
        <f>_xlfn.XLOOKUP(F46,'Mitigation Map'!O:O,'Mitigation Map'!Q:Q)</f>
        <v>#N/A</v>
      </c>
      <c r="I46" s="14" t="str">
        <f>_xlfn.XLOOKUP(F46,'Mitigation Map'!O:O, 'Mitigation Map'!R:R, "")</f>
        <v/>
      </c>
      <c r="J46" s="130">
        <f t="shared" si="0"/>
        <v>45880</v>
      </c>
      <c r="K46" s="131" t="str">
        <f>IF(OR(J46="", _xlfn.XLOOKUP('Risk Treatment Plan'!F46, 'Mitigation Map'!O:O, 'Mitigation Map'!T:T, "")=""), "", J46 + _xlfn.XLOOKUP('Risk Treatment Plan'!F46, 'Mitigation Map'!O:O, 'Mitigation Map'!T:T))</f>
        <v/>
      </c>
      <c r="L46" s="14" t="str">
        <f>_xlfn.XLOOKUP(F46,'Mitigation Map'!O:O,'Mitigation Map'!U:U,"")</f>
        <v/>
      </c>
      <c r="M46" s="14" t="str">
        <f>_xlfn.XLOOKUP(F46,'Mitigation Map'!O:O,'Mitigation Map'!V:V,"")</f>
        <v/>
      </c>
    </row>
    <row r="47" spans="2:14">
      <c r="J47" s="136">
        <f t="shared" ref="J47:J50" si="1">IF($J$3="", "", $J$3)</f>
        <v>45880</v>
      </c>
      <c r="K47" s="136">
        <f t="shared" ref="K47:K50" si="2">IF(J47="", "", J47 + 7)</f>
        <v>45887</v>
      </c>
    </row>
    <row r="48" spans="2:14">
      <c r="J48" s="136">
        <f t="shared" si="1"/>
        <v>45880</v>
      </c>
      <c r="K48" s="136">
        <f t="shared" si="2"/>
        <v>45887</v>
      </c>
    </row>
    <row r="49" spans="10:11">
      <c r="J49" s="136">
        <f t="shared" si="1"/>
        <v>45880</v>
      </c>
      <c r="K49" s="136">
        <f t="shared" si="2"/>
        <v>45887</v>
      </c>
    </row>
    <row r="50" spans="10:11">
      <c r="J50" s="136">
        <f t="shared" si="1"/>
        <v>45880</v>
      </c>
      <c r="K50" s="136">
        <f t="shared" si="2"/>
        <v>45887</v>
      </c>
    </row>
  </sheetData>
  <sheetProtection algorithmName="SHA-512" hashValue="ydxR/+aXL8D5YJ023XE3hlDvLh04z3AHO6W1mxFO83UqvAbXnntaf7rjXk03AF49YlnSUnGUGY9YwT02vQjmiQ==" saltValue="hbbKpSx6tfZRPFkLZJ/b/A==" spinCount="100000" sheet="1" objects="1" scenarios="1"/>
  <conditionalFormatting sqref="D1:D1048576">
    <cfRule type="containsText" dxfId="44" priority="1" operator="containsText" text="Medium">
      <formula>NOT(ISERROR(SEARCH("Medium",D1)))</formula>
    </cfRule>
    <cfRule type="containsText" dxfId="43" priority="2" operator="containsText" text="Low">
      <formula>NOT(ISERROR(SEARCH("Low",D1)))</formula>
    </cfRule>
    <cfRule type="containsText" dxfId="42" priority="3" operator="containsText" text="High">
      <formula>NOT(ISERROR(SEARCH("High",D1)))</formula>
    </cfRule>
  </conditionalFormatting>
  <conditionalFormatting sqref="E1:E1048576">
    <cfRule type="containsText" dxfId="41" priority="4" operator="containsText" text="Transfer">
      <formula>NOT(ISERROR(SEARCH("Transfer",E1)))</formula>
    </cfRule>
    <cfRule type="containsText" dxfId="40" priority="5" operator="containsText" text="Accept">
      <formula>NOT(ISERROR(SEARCH("Accept",E1)))</formula>
    </cfRule>
    <cfRule type="containsText" dxfId="39" priority="6" operator="containsText" text="Avoid">
      <formula>NOT(ISERROR(SEARCH("Avoid",E1)))</formula>
    </cfRule>
    <cfRule type="containsText" dxfId="38" priority="7" operator="containsText" text="Reduce">
      <formula>NOT(ISERROR(SEARCH("Reduce",E1)))</formula>
    </cfRule>
  </conditionalFormatting>
  <conditionalFormatting sqref="G1:G1048576">
    <cfRule type="containsText" dxfId="37" priority="8" operator="containsText" text="Completed">
      <formula>NOT(ISERROR(SEARCH("Completed",G1)))</formula>
    </cfRule>
    <cfRule type="containsText" dxfId="36" priority="9" operator="containsText" text="Ongoing">
      <formula>NOT(ISERROR(SEARCH("Ongoing",G1)))</formula>
    </cfRule>
    <cfRule type="containsText" dxfId="35" priority="10" operator="containsText" text="Planned">
      <formula>NOT(ISERROR(SEARCH("Planned",G1)))</formula>
    </cfRule>
  </conditionalFormatting>
  <conditionalFormatting sqref="H1:H1048576">
    <cfRule type="containsText" dxfId="34" priority="11" operator="containsText" text="Medium">
      <formula>NOT(ISERROR(SEARCH("Medium",H1)))</formula>
    </cfRule>
    <cfRule type="containsText" dxfId="33" priority="13" operator="containsText" text="High">
      <formula>NOT(ISERROR(SEARCH("High",H1)))</formula>
    </cfRule>
    <cfRule type="containsText" dxfId="32" priority="14" operator="containsText" text="Medium ">
      <formula>NOT(ISERROR(SEARCH("Medium ",H1)))</formula>
    </cfRule>
    <cfRule type="containsText" dxfId="31" priority="15" operator="containsText" text="Low">
      <formula>NOT(ISERROR(SEARCH("Low",H1)))</formula>
    </cfRule>
  </conditionalFormatting>
  <dataValidations count="4">
    <dataValidation type="list" allowBlank="1" showInputMessage="1" showErrorMessage="1" sqref="G3:G46" xr:uid="{89B7913D-407B-445F-967D-E1CA69B6CAF0}">
      <formula1>"Planned,Ongoing,Completed"</formula1>
    </dataValidation>
    <dataValidation type="list" allowBlank="1" showInputMessage="1" showErrorMessage="1" sqref="H3:H46" xr:uid="{0798021E-F829-49CA-A8A9-4D812E695602}">
      <formula1>"High,Medium,Low"</formula1>
    </dataValidation>
    <dataValidation type="list" allowBlank="1" showInputMessage="1" showErrorMessage="1" sqref="E1:E1048576" xr:uid="{0D4131EE-5A81-424D-8ABB-BFAF9160E916}">
      <formula1>"Avoid,Reduce,Transfer,Accept"</formula1>
    </dataValidation>
    <dataValidation allowBlank="1" showInputMessage="1" showErrorMessage="1" promptTitle="Insert Start Date" prompt="The start date entered will be automatically applied to all" sqref="J3" xr:uid="{E1A86B9D-CF40-475A-B4EF-98B9CAC4E95B}"/>
  </dataValidation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4E5B-6271-4A13-AF1F-3EB97A2DC7A0}">
  <sheetPr>
    <tabColor rgb="FFAFA0BA"/>
    <pageSetUpPr fitToPage="1"/>
  </sheetPr>
  <dimension ref="A2:AZ249"/>
  <sheetViews>
    <sheetView showGridLines="0" topLeftCell="S87" zoomScale="62" zoomScaleNormal="50" workbookViewId="0">
      <selection activeCell="S87" sqref="S87"/>
    </sheetView>
  </sheetViews>
  <sheetFormatPr defaultColWidth="9.125" defaultRowHeight="14.25"/>
  <cols>
    <col min="1" max="1" width="9.125" style="18"/>
    <col min="2" max="2" width="4.875" style="18" customWidth="1"/>
    <col min="3" max="5" width="21" style="18" customWidth="1"/>
    <col min="6" max="6" width="19.375" style="40" customWidth="1"/>
    <col min="7" max="7" width="19.875" style="18" customWidth="1"/>
    <col min="8" max="8" width="28.625" style="18" customWidth="1"/>
    <col min="9" max="9" width="25.75" style="18" hidden="1" customWidth="1"/>
    <col min="10" max="10" width="16.625" style="18" hidden="1" customWidth="1"/>
    <col min="11" max="11" width="10" style="18" customWidth="1"/>
    <col min="12" max="12" width="23.75" style="18" customWidth="1"/>
    <col min="13" max="13" width="17" style="18" customWidth="1"/>
    <col min="14" max="14" width="21.875" style="94" customWidth="1"/>
    <col min="15" max="15" width="60.125" style="96" customWidth="1"/>
    <col min="16" max="16" width="17.875" style="94" customWidth="1"/>
    <col min="17" max="17" width="31.125" style="94" customWidth="1"/>
    <col min="18" max="18" width="21.625" style="96" customWidth="1"/>
    <col min="19" max="19" width="15" style="96" customWidth="1"/>
    <col min="20" max="20" width="15.125" style="96" customWidth="1"/>
    <col min="21" max="21" width="36.625" style="96" bestFit="1" customWidth="1"/>
    <col min="22" max="22" width="33.125" style="1" customWidth="1"/>
    <col min="23" max="24" width="9.125" style="18"/>
    <col min="25" max="25" width="13.75" style="18" customWidth="1"/>
    <col min="26" max="51" width="9.125" style="18"/>
    <col min="52" max="52" width="36.625" style="18" bestFit="1" customWidth="1"/>
    <col min="53" max="16384" width="9.125" style="18"/>
  </cols>
  <sheetData>
    <row r="2" spans="1:52" ht="14.1" customHeight="1">
      <c r="B2" s="342" t="s">
        <v>116</v>
      </c>
      <c r="C2" s="343"/>
      <c r="D2" s="343"/>
      <c r="E2" s="343"/>
      <c r="F2" s="343"/>
      <c r="G2" s="343"/>
      <c r="H2" s="343"/>
      <c r="I2" s="343"/>
      <c r="J2" s="343"/>
      <c r="K2" s="343"/>
      <c r="L2" s="343"/>
      <c r="M2" s="344"/>
    </row>
    <row r="3" spans="1:52" ht="18.75" customHeight="1">
      <c r="B3" s="345"/>
      <c r="C3" s="346"/>
      <c r="D3" s="346"/>
      <c r="E3" s="346"/>
      <c r="F3" s="346"/>
      <c r="G3" s="346"/>
      <c r="H3" s="346"/>
      <c r="I3" s="346"/>
      <c r="J3" s="346"/>
      <c r="K3" s="346"/>
      <c r="L3" s="346"/>
      <c r="M3" s="347"/>
    </row>
    <row r="4" spans="1:52" ht="13.5" customHeight="1">
      <c r="B4" s="97"/>
      <c r="C4" s="97"/>
      <c r="D4" s="97"/>
      <c r="E4" s="97"/>
      <c r="F4" s="97"/>
      <c r="G4" s="97"/>
      <c r="H4" s="97"/>
      <c r="I4" s="97"/>
      <c r="J4" s="97"/>
      <c r="K4" s="97"/>
      <c r="L4" s="97"/>
      <c r="M4" s="97"/>
    </row>
    <row r="5" spans="1:52" s="2" customFormat="1" ht="26.45" customHeight="1">
      <c r="B5" s="458" t="s">
        <v>117</v>
      </c>
      <c r="C5" s="458"/>
      <c r="D5" s="458"/>
      <c r="E5" s="458"/>
      <c r="F5" s="458"/>
      <c r="G5" s="458"/>
      <c r="H5" s="458"/>
      <c r="I5" s="458"/>
      <c r="J5" s="458"/>
      <c r="K5" s="458"/>
      <c r="L5" s="458"/>
      <c r="M5" s="458"/>
      <c r="N5" s="94"/>
      <c r="O5" s="96"/>
      <c r="P5" s="94"/>
      <c r="Q5" s="94"/>
      <c r="R5" s="96"/>
      <c r="S5" s="96"/>
      <c r="T5" s="96"/>
      <c r="U5" s="96"/>
      <c r="V5" s="1"/>
    </row>
    <row r="6" spans="1:52" ht="29.25" customHeight="1">
      <c r="A6" s="38"/>
      <c r="B6" s="139" t="s">
        <v>32</v>
      </c>
      <c r="C6" s="459" t="s">
        <v>118</v>
      </c>
      <c r="D6" s="459"/>
      <c r="E6" s="459"/>
      <c r="F6" s="139" t="s">
        <v>119</v>
      </c>
      <c r="G6" s="139" t="s">
        <v>35</v>
      </c>
      <c r="H6" s="140" t="s">
        <v>120</v>
      </c>
      <c r="I6" s="140" t="s">
        <v>121</v>
      </c>
      <c r="J6" s="140" t="s">
        <v>122</v>
      </c>
      <c r="K6" s="140" t="s">
        <v>123</v>
      </c>
      <c r="L6" s="140" t="s">
        <v>124</v>
      </c>
      <c r="M6" s="140" t="s">
        <v>125</v>
      </c>
      <c r="N6" s="140" t="s">
        <v>379</v>
      </c>
      <c r="O6" s="141" t="s">
        <v>380</v>
      </c>
      <c r="P6" s="140" t="s">
        <v>381</v>
      </c>
      <c r="Q6" s="140" t="s">
        <v>382</v>
      </c>
      <c r="R6" s="141" t="s">
        <v>383</v>
      </c>
      <c r="S6" s="141" t="s">
        <v>384</v>
      </c>
      <c r="T6" s="141" t="s">
        <v>385</v>
      </c>
      <c r="U6" s="141" t="s">
        <v>386</v>
      </c>
      <c r="V6" s="142" t="s">
        <v>387</v>
      </c>
    </row>
    <row r="7" spans="1:52" ht="61.5" customHeight="1">
      <c r="A7" s="143"/>
      <c r="B7" s="450">
        <v>1</v>
      </c>
      <c r="C7" s="451" t="s">
        <v>126</v>
      </c>
      <c r="D7" s="451"/>
      <c r="E7" s="451"/>
      <c r="F7" s="145">
        <f>'P3 Gen Data Privacy Principles'!F7</f>
        <v>0</v>
      </c>
      <c r="G7" s="146"/>
      <c r="H7" s="460" t="str">
        <f>IF(F7="No", "Absence of a comprehensive and timely privacy notice creates a transparency gap, weakening data subjects' ability to make informed decisions and exercise their rights.", "")</f>
        <v/>
      </c>
      <c r="I7" s="443" t="str">
        <f>IF(F7="No", "Violation of general privacy principles – Transparency
Violation of data subject rights - Rights to be informed", "")</f>
        <v/>
      </c>
      <c r="J7" s="443" t="str">
        <f>IF(F7="No", "SEC. 11, DPA 
SEC. 16 (a) (b), DPA", "")</f>
        <v/>
      </c>
      <c r="K7" s="444" t="str">
        <f>IF(AND(F7="No", 'P1 Threshold Analysis'!D5="Yes"), 4, IF(AND(F7="No", COUNTIF(F8:F17, "False")&gt;9), 4, IF(AND(F7="No", COUNTIF(F8:F17, "True")&gt;0), 3, "")))</f>
        <v/>
      </c>
      <c r="L7" s="444" t="str">
        <f>IF(AND(F7="No", 'P1 Threshold Analysis'!D5="Yes"), 4, IF(AND(F7="No", COUNTIF(F8:F17, "False")&gt;9), 4, IF(AND(F7="No", COUNTIF(F8:F17, "True")&gt;0), 3, "")))</f>
        <v/>
      </c>
      <c r="M7" s="444" t="str">
        <f>IF(OR(K7="", L7=""), "",
 IF(K7*L7&gt;=10, IF(K7*L7&lt;=16, "High Risk", ""),
 IF(K7*L7&gt;=6, IF(K7*L7&lt;=9, "Medium Risk", ""),
 IF(K7*L7&gt;=2, IF(K7*L7&lt;=4, "Low Risk", ""),
 IF(K7*L7=1, "Negligible", "")))))</f>
        <v/>
      </c>
      <c r="N7" s="444" t="s">
        <v>388</v>
      </c>
      <c r="O7" s="443" t="s">
        <v>389</v>
      </c>
      <c r="P7" s="444" t="s">
        <v>390</v>
      </c>
      <c r="Q7" s="444" t="s">
        <v>391</v>
      </c>
      <c r="R7" s="443" t="s">
        <v>392</v>
      </c>
      <c r="S7" s="443" t="s">
        <v>393</v>
      </c>
      <c r="T7" s="443">
        <v>7</v>
      </c>
      <c r="U7" s="443" t="s">
        <v>394</v>
      </c>
      <c r="V7" s="447" t="s">
        <v>395</v>
      </c>
    </row>
    <row r="8" spans="1:52" ht="15.6" customHeight="1">
      <c r="A8" s="143"/>
      <c r="B8" s="450"/>
      <c r="C8" s="449" t="s">
        <v>127</v>
      </c>
      <c r="D8" s="449"/>
      <c r="E8" s="449"/>
      <c r="F8" s="145" t="b">
        <f>'P3 Gen Data Privacy Principles'!F8</f>
        <v>0</v>
      </c>
      <c r="G8" s="150"/>
      <c r="H8" s="460"/>
      <c r="I8" s="443"/>
      <c r="J8" s="443"/>
      <c r="K8" s="444"/>
      <c r="L8" s="444"/>
      <c r="M8" s="444"/>
      <c r="N8" s="444"/>
      <c r="O8" s="443"/>
      <c r="P8" s="444"/>
      <c r="Q8" s="444"/>
      <c r="R8" s="443"/>
      <c r="S8" s="443"/>
      <c r="T8" s="443"/>
      <c r="U8" s="443"/>
      <c r="V8" s="447"/>
    </row>
    <row r="9" spans="1:52" ht="44.1" customHeight="1">
      <c r="A9" s="143"/>
      <c r="B9" s="450"/>
      <c r="C9" s="449" t="s">
        <v>128</v>
      </c>
      <c r="D9" s="449"/>
      <c r="E9" s="449"/>
      <c r="F9" s="145" t="b">
        <f>'P3 Gen Data Privacy Principles'!F9</f>
        <v>0</v>
      </c>
      <c r="G9" s="150"/>
      <c r="H9" s="460"/>
      <c r="I9" s="443"/>
      <c r="J9" s="443"/>
      <c r="K9" s="444"/>
      <c r="L9" s="444"/>
      <c r="M9" s="444"/>
      <c r="N9" s="444"/>
      <c r="O9" s="443"/>
      <c r="P9" s="444"/>
      <c r="Q9" s="444"/>
      <c r="R9" s="443"/>
      <c r="S9" s="443"/>
      <c r="T9" s="443"/>
      <c r="U9" s="443"/>
      <c r="V9" s="447"/>
    </row>
    <row r="10" spans="1:52" ht="15.6" customHeight="1">
      <c r="A10" s="143"/>
      <c r="B10" s="450"/>
      <c r="C10" s="449" t="s">
        <v>129</v>
      </c>
      <c r="D10" s="449"/>
      <c r="E10" s="449"/>
      <c r="F10" s="145" t="b">
        <f>'P3 Gen Data Privacy Principles'!F10</f>
        <v>0</v>
      </c>
      <c r="G10" s="150"/>
      <c r="H10" s="460"/>
      <c r="I10" s="443"/>
      <c r="J10" s="443"/>
      <c r="K10" s="444"/>
      <c r="L10" s="444"/>
      <c r="M10" s="444"/>
      <c r="N10" s="444"/>
      <c r="O10" s="443"/>
      <c r="P10" s="444"/>
      <c r="Q10" s="444"/>
      <c r="R10" s="443"/>
      <c r="S10" s="443"/>
      <c r="T10" s="443"/>
      <c r="U10" s="443"/>
      <c r="V10" s="447"/>
    </row>
    <row r="11" spans="1:52" ht="15.6" customHeight="1">
      <c r="A11" s="143"/>
      <c r="B11" s="450"/>
      <c r="C11" s="449" t="s">
        <v>130</v>
      </c>
      <c r="D11" s="449"/>
      <c r="E11" s="449"/>
      <c r="F11" s="145" t="b">
        <f>'P3 Gen Data Privacy Principles'!F11</f>
        <v>0</v>
      </c>
      <c r="G11" s="150"/>
      <c r="H11" s="460"/>
      <c r="I11" s="443"/>
      <c r="J11" s="443"/>
      <c r="K11" s="444"/>
      <c r="L11" s="444"/>
      <c r="M11" s="444"/>
      <c r="N11" s="444"/>
      <c r="O11" s="443"/>
      <c r="P11" s="444"/>
      <c r="Q11" s="444"/>
      <c r="R11" s="443"/>
      <c r="S11" s="443"/>
      <c r="T11" s="443"/>
      <c r="U11" s="443"/>
      <c r="V11" s="447"/>
    </row>
    <row r="12" spans="1:52" ht="15.6" customHeight="1">
      <c r="A12" s="143"/>
      <c r="B12" s="450"/>
      <c r="C12" s="449" t="s">
        <v>131</v>
      </c>
      <c r="D12" s="449"/>
      <c r="E12" s="449"/>
      <c r="F12" s="145" t="b">
        <f>'P3 Gen Data Privacy Principles'!F12</f>
        <v>0</v>
      </c>
      <c r="G12" s="150"/>
      <c r="H12" s="460"/>
      <c r="I12" s="443"/>
      <c r="J12" s="443"/>
      <c r="K12" s="444"/>
      <c r="L12" s="444"/>
      <c r="M12" s="444"/>
      <c r="N12" s="444"/>
      <c r="O12" s="443"/>
      <c r="P12" s="444"/>
      <c r="Q12" s="444"/>
      <c r="R12" s="443"/>
      <c r="S12" s="443"/>
      <c r="T12" s="443"/>
      <c r="U12" s="443"/>
      <c r="V12" s="447"/>
    </row>
    <row r="13" spans="1:52" ht="74.099999999999994" customHeight="1">
      <c r="A13" s="143"/>
      <c r="B13" s="450"/>
      <c r="C13" s="449" t="s">
        <v>132</v>
      </c>
      <c r="D13" s="449"/>
      <c r="E13" s="449"/>
      <c r="F13" s="145" t="b">
        <f>'P3 Gen Data Privacy Principles'!F13</f>
        <v>0</v>
      </c>
      <c r="G13" s="150"/>
      <c r="H13" s="460"/>
      <c r="I13" s="443"/>
      <c r="J13" s="443"/>
      <c r="K13" s="444"/>
      <c r="L13" s="444"/>
      <c r="M13" s="444"/>
      <c r="N13" s="444"/>
      <c r="O13" s="443"/>
      <c r="P13" s="444"/>
      <c r="Q13" s="444"/>
      <c r="R13" s="443"/>
      <c r="S13" s="443"/>
      <c r="T13" s="443"/>
      <c r="U13" s="443"/>
      <c r="V13" s="447"/>
      <c r="AZ13" s="44" t="s">
        <v>133</v>
      </c>
    </row>
    <row r="14" spans="1:52" ht="15.6" customHeight="1">
      <c r="A14" s="143"/>
      <c r="B14" s="450"/>
      <c r="C14" s="449" t="s">
        <v>134</v>
      </c>
      <c r="D14" s="449"/>
      <c r="E14" s="449"/>
      <c r="F14" s="145" t="b">
        <f>'P3 Gen Data Privacy Principles'!F14</f>
        <v>0</v>
      </c>
      <c r="G14" s="150"/>
      <c r="H14" s="460"/>
      <c r="I14" s="443"/>
      <c r="J14" s="443"/>
      <c r="K14" s="444"/>
      <c r="L14" s="444"/>
      <c r="M14" s="444"/>
      <c r="N14" s="444"/>
      <c r="O14" s="443"/>
      <c r="P14" s="444"/>
      <c r="Q14" s="444"/>
      <c r="R14" s="443"/>
      <c r="S14" s="443"/>
      <c r="T14" s="443"/>
      <c r="U14" s="443"/>
      <c r="V14" s="447"/>
    </row>
    <row r="15" spans="1:52" ht="48.95" customHeight="1">
      <c r="A15" s="143"/>
      <c r="B15" s="450"/>
      <c r="C15" s="449" t="s">
        <v>135</v>
      </c>
      <c r="D15" s="449"/>
      <c r="E15" s="449"/>
      <c r="F15" s="145" t="b">
        <f>'P3 Gen Data Privacy Principles'!F15</f>
        <v>0</v>
      </c>
      <c r="G15" s="150"/>
      <c r="H15" s="460"/>
      <c r="I15" s="443"/>
      <c r="J15" s="443"/>
      <c r="K15" s="444"/>
      <c r="L15" s="444"/>
      <c r="M15" s="444"/>
      <c r="N15" s="444"/>
      <c r="O15" s="443"/>
      <c r="P15" s="444"/>
      <c r="Q15" s="444"/>
      <c r="R15" s="443"/>
      <c r="S15" s="443"/>
      <c r="T15" s="443"/>
      <c r="U15" s="443"/>
      <c r="V15" s="447"/>
    </row>
    <row r="16" spans="1:52" ht="15.6" customHeight="1">
      <c r="A16" s="143"/>
      <c r="B16" s="450"/>
      <c r="C16" s="449" t="s">
        <v>136</v>
      </c>
      <c r="D16" s="449"/>
      <c r="E16" s="449"/>
      <c r="F16" s="145" t="b">
        <f>'P3 Gen Data Privacy Principles'!F16</f>
        <v>0</v>
      </c>
      <c r="G16" s="150"/>
      <c r="H16" s="460"/>
      <c r="I16" s="443"/>
      <c r="J16" s="443"/>
      <c r="K16" s="444"/>
      <c r="L16" s="444"/>
      <c r="M16" s="444"/>
      <c r="N16" s="444"/>
      <c r="O16" s="443"/>
      <c r="P16" s="444"/>
      <c r="Q16" s="444"/>
      <c r="R16" s="443"/>
      <c r="S16" s="443"/>
      <c r="T16" s="443"/>
      <c r="U16" s="443"/>
      <c r="V16" s="447"/>
    </row>
    <row r="17" spans="1:22" ht="15.6" customHeight="1">
      <c r="A17" s="143"/>
      <c r="B17" s="450"/>
      <c r="C17" s="449" t="s">
        <v>137</v>
      </c>
      <c r="D17" s="449"/>
      <c r="E17" s="449"/>
      <c r="F17" s="145" t="b">
        <f>'P3 Gen Data Privacy Principles'!F17</f>
        <v>0</v>
      </c>
      <c r="G17" s="150"/>
      <c r="H17" s="460"/>
      <c r="I17" s="443"/>
      <c r="J17" s="443"/>
      <c r="K17" s="444"/>
      <c r="L17" s="444"/>
      <c r="M17" s="444"/>
      <c r="N17" s="444"/>
      <c r="O17" s="443"/>
      <c r="P17" s="444"/>
      <c r="Q17" s="444"/>
      <c r="R17" s="443"/>
      <c r="S17" s="443"/>
      <c r="T17" s="443"/>
      <c r="U17" s="443"/>
      <c r="V17" s="447"/>
    </row>
    <row r="18" spans="1:22" ht="146.25" customHeight="1">
      <c r="A18" s="143"/>
      <c r="B18" s="144">
        <v>2</v>
      </c>
      <c r="C18" s="454" t="s">
        <v>138</v>
      </c>
      <c r="D18" s="454"/>
      <c r="E18" s="454"/>
      <c r="F18" s="145">
        <f>'P3 Gen Data Privacy Principles'!F18</f>
        <v>0</v>
      </c>
      <c r="G18" s="151"/>
      <c r="H18" s="152" t="str">
        <f>IF(F18="No", "Use of complex or technical language in privacy notices makes it difficult for data subjects to understand how their personal data is processed, increasing the risk of uninformed consent and non-compliance with transparency obligations.", "")</f>
        <v/>
      </c>
      <c r="I18" s="147" t="str">
        <f>IF(F18="No","Violation of general privacy principles – Transparency", "")</f>
        <v/>
      </c>
      <c r="J18" s="147" t="str">
        <f>IF(F18="No","SEC. 11, DPA ", "")</f>
        <v/>
      </c>
      <c r="K18" s="148" t="str">
        <f>IF(AND(F7="No", COUNTIF(F8:F17, "False")&gt;9), 4,
 IF(AND(F18="No", 'P1 Threshold Analysis'!D5="Yes"), 3,
 IF(AND(F18="No", COUNTIF(F8:F17, "FALSE")&gt;0, 'P1 Threshold Analysis'!D4="Yes", 'P1 Threshold Analysis'!D5="No"), 2, "")))</f>
        <v/>
      </c>
      <c r="L18" s="148" t="str">
        <f>IF(AND(F7="No", COUNTIF(F8:F17, "False")&gt;9), 4,
 IF(AND(F18="No", 'P1 Threshold Analysis'!D5="Yes"), 3,
 IF(AND(F18="No", COUNTIF(F8:F17, "FALSE")&gt;0, 'P1 Threshold Analysis'!D4="Yes", 'P1 Threshold Analysis'!D5="No"), 2, "")))</f>
        <v/>
      </c>
      <c r="M18" s="148" t="str">
        <f>IF(OR(K18="", L18=""), "",
 IF(K18*L18&gt;=10, IF(K18*L18&lt;=16, "High Risk", ""),
 IF(K18*L18&gt;=6, IF(K18*L18&lt;=9, "Medium Risk", ""),
 IF(K18*L18&gt;=2, IF(K18*L18&lt;=4, "Low Risk", ""),
 IF(K18*L18=1, "Negligible", "")))))</f>
        <v/>
      </c>
      <c r="N18" s="148" t="s">
        <v>388</v>
      </c>
      <c r="O18" s="147" t="s">
        <v>396</v>
      </c>
      <c r="P18" s="148" t="s">
        <v>390</v>
      </c>
      <c r="Q18" s="148" t="s">
        <v>391</v>
      </c>
      <c r="R18" s="147" t="s">
        <v>397</v>
      </c>
      <c r="S18" s="147"/>
      <c r="T18" s="147">
        <v>7</v>
      </c>
      <c r="U18" s="147" t="s">
        <v>394</v>
      </c>
      <c r="V18" s="153" t="s">
        <v>395</v>
      </c>
    </row>
    <row r="19" spans="1:22" s="2" customFormat="1" ht="26.45" customHeight="1">
      <c r="A19" s="151"/>
      <c r="B19" s="453" t="s">
        <v>139</v>
      </c>
      <c r="C19" s="453"/>
      <c r="D19" s="453"/>
      <c r="E19" s="453"/>
      <c r="F19" s="453"/>
      <c r="G19" s="453"/>
      <c r="H19" s="453"/>
      <c r="I19" s="453"/>
      <c r="J19" s="453"/>
      <c r="K19" s="453"/>
      <c r="L19" s="453"/>
      <c r="M19" s="453"/>
      <c r="N19" s="148"/>
      <c r="O19" s="147"/>
      <c r="P19" s="148"/>
      <c r="Q19" s="148"/>
      <c r="R19" s="147"/>
      <c r="S19" s="147"/>
      <c r="T19" s="147"/>
      <c r="U19" s="147"/>
      <c r="V19" s="149"/>
    </row>
    <row r="20" spans="1:22" ht="404.25" customHeight="1">
      <c r="A20" s="143"/>
      <c r="B20" s="144">
        <v>1</v>
      </c>
      <c r="C20" s="454" t="s">
        <v>140</v>
      </c>
      <c r="D20" s="454"/>
      <c r="E20" s="454"/>
      <c r="F20" s="148">
        <f>'P3 Gen Data Privacy Principles'!F20</f>
        <v>0</v>
      </c>
      <c r="G20" s="151"/>
      <c r="H20" s="150" t="str">
        <f>IF(F20="No", "Processing personal data for purposes that are incompatible with the declared purpose and contrary to law, morals, or public policy may lead to regulatory sanctions, reputational damage, and loss of public trust.", "")</f>
        <v/>
      </c>
      <c r="I20" s="147" t="str">
        <f>IF(F20="No", "Violation of general privacy principles – Legitimate Purpose", "")</f>
        <v/>
      </c>
      <c r="J20" s="148" t="str">
        <f>IF(F20="No", " 
SEC. 11, DPA", "")</f>
        <v/>
      </c>
      <c r="K20" s="148" t="str">
        <f>IF(AND(F20="No", 'P1 Threshold Analysis'!D5="Yes"),4, IF(AND(F20="No", 'P1 Threshold Analysis'!D4="Yes"), 3,""))</f>
        <v/>
      </c>
      <c r="L20" s="148" t="str">
        <f>IF(AND(F20="No", 'P1 Threshold Analysis'!D5="Yes"),4, IF(AND(F20="No", 'P1 Threshold Analysis'!D4="Yes"), 3,""))</f>
        <v/>
      </c>
      <c r="M20" s="148" t="str">
        <f>IF(OR(K20="", L20=""), "",
 IF(K20*L20&gt;=10, IF(K20*L20&lt;=16, "High Risk", ""),
 IF(K20*L20&gt;=6, IF(K20*L20&lt;=9, "Medium Risk", ""),
 IF(K20*L20&gt;=2, IF(K20*L20&lt;=4, "Low Risk", ""),
 IF(K20*L20=1, "Negligible", "")))))</f>
        <v/>
      </c>
      <c r="N20" s="148" t="s">
        <v>388</v>
      </c>
      <c r="O20" s="147" t="s">
        <v>398</v>
      </c>
      <c r="P20" s="148" t="s">
        <v>390</v>
      </c>
      <c r="Q20" s="148" t="s">
        <v>391</v>
      </c>
      <c r="R20" s="147" t="s">
        <v>399</v>
      </c>
      <c r="S20" s="147"/>
      <c r="T20" s="147">
        <v>1</v>
      </c>
      <c r="U20" s="147" t="s">
        <v>394</v>
      </c>
      <c r="V20" s="153" t="s">
        <v>395</v>
      </c>
    </row>
    <row r="21" spans="1:22" ht="57">
      <c r="A21" s="143"/>
      <c r="B21" s="144">
        <v>2</v>
      </c>
      <c r="C21" s="454" t="s">
        <v>141</v>
      </c>
      <c r="D21" s="454"/>
      <c r="E21" s="454"/>
      <c r="F21" s="148">
        <f>'P3 Gen Data Privacy Principles'!F21</f>
        <v>0</v>
      </c>
      <c r="G21" s="149"/>
      <c r="H21" s="150" t="str">
        <f>IF(F21="No", "Processing personal data without a valid legal basis under Sections 4, 12, or 13 of the Data Privacy Act exposes the organization to legal liabilities, and penalties.", "")</f>
        <v/>
      </c>
      <c r="I21" s="147" t="str">
        <f>IF(F21="No", "Violation of general privacy principles – Legitimate Purpose", "")</f>
        <v/>
      </c>
      <c r="J21" s="148" t="str">
        <f>IF(F21="No", " 
SEC. 11, DPA", "")</f>
        <v/>
      </c>
      <c r="K21" s="148" t="str">
        <f>IF(AND(F21="No", 'P1 Threshold Analysis'!D5="Yes"),4, IF(AND(F21="No", 'P1 Threshold Analysis'!D4="Yes"), 3,""))</f>
        <v/>
      </c>
      <c r="L21" s="148" t="str">
        <f>IF(AND(F21="No", 'P1 Threshold Analysis'!D5="Yes"),4, IF(AND(F21="No", 'P1 Threshold Analysis'!D4="Yes"), 3,""))</f>
        <v/>
      </c>
      <c r="M21" s="148" t="str">
        <f>IF(OR(K21="", L21=""), "",
 IF(K21*L21&gt;=10, IF(K21*L21&lt;=16, "High Risk", ""),
 IF(K21*L21&gt;=6, IF(K21*L21&lt;=9, "Medium Risk", ""),
 IF(K21*L21&gt;=2, IF(K21*L21&lt;=4, "Low Risk", ""),
 IF(K21*L21=1, "Negligible", "")))))</f>
        <v/>
      </c>
      <c r="N21" s="148" t="s">
        <v>388</v>
      </c>
      <c r="O21" s="147" t="s">
        <v>400</v>
      </c>
      <c r="P21" s="148" t="s">
        <v>390</v>
      </c>
      <c r="Q21" s="148" t="s">
        <v>391</v>
      </c>
      <c r="R21" s="147" t="s">
        <v>401</v>
      </c>
      <c r="S21" s="147"/>
      <c r="T21" s="147">
        <v>1</v>
      </c>
      <c r="U21" s="147" t="s">
        <v>394</v>
      </c>
      <c r="V21" s="153" t="s">
        <v>395</v>
      </c>
    </row>
    <row r="22" spans="1:22" s="2" customFormat="1" ht="26.45" customHeight="1">
      <c r="A22" s="151"/>
      <c r="B22" s="455" t="s">
        <v>142</v>
      </c>
      <c r="C22" s="455"/>
      <c r="D22" s="455"/>
      <c r="E22" s="455"/>
      <c r="F22" s="455"/>
      <c r="G22" s="455"/>
      <c r="H22" s="455"/>
      <c r="I22" s="455"/>
      <c r="J22" s="455"/>
      <c r="K22" s="455"/>
      <c r="L22" s="455"/>
      <c r="M22" s="455"/>
      <c r="N22" s="448"/>
      <c r="O22" s="448"/>
      <c r="P22" s="448"/>
      <c r="Q22" s="448"/>
      <c r="R22" s="448"/>
      <c r="S22" s="448"/>
      <c r="T22" s="448"/>
      <c r="U22" s="448"/>
      <c r="V22" s="448"/>
    </row>
    <row r="23" spans="1:22" ht="77.45" customHeight="1">
      <c r="A23" s="143"/>
      <c r="B23" s="456" t="s">
        <v>402</v>
      </c>
      <c r="C23" s="456"/>
      <c r="D23" s="154" t="s">
        <v>144</v>
      </c>
      <c r="E23" s="154" t="s">
        <v>145</v>
      </c>
      <c r="F23" s="154" t="s">
        <v>146</v>
      </c>
      <c r="G23" s="154" t="s">
        <v>147</v>
      </c>
      <c r="H23" s="155" t="s">
        <v>120</v>
      </c>
      <c r="I23" s="155" t="s">
        <v>121</v>
      </c>
      <c r="J23" s="155" t="s">
        <v>122</v>
      </c>
      <c r="K23" s="155" t="s">
        <v>123</v>
      </c>
      <c r="L23" s="155" t="s">
        <v>124</v>
      </c>
      <c r="M23" s="155" t="s">
        <v>125</v>
      </c>
      <c r="N23" s="156"/>
      <c r="O23" s="157"/>
      <c r="P23" s="156"/>
      <c r="Q23" s="156"/>
      <c r="R23" s="157"/>
      <c r="S23" s="157"/>
      <c r="T23" s="157"/>
      <c r="U23" s="157"/>
      <c r="V23" s="158"/>
    </row>
    <row r="24" spans="1:22" ht="285">
      <c r="A24" s="143"/>
      <c r="B24" s="457" t="str">
        <f>'P3 Gen Data Privacy Principles'!B24</f>
        <v>Name, Age</v>
      </c>
      <c r="C24" s="457"/>
      <c r="D24" s="148" t="str">
        <f>'P3 Gen Data Privacy Principles'!D24</f>
        <v>No</v>
      </c>
      <c r="E24" s="148" t="str">
        <f>'P3 Gen Data Privacy Principles'!E24</f>
        <v>No</v>
      </c>
      <c r="F24" s="145" t="str">
        <f>'P3 Gen Data Privacy Principles'!F24</f>
        <v>Required</v>
      </c>
      <c r="G24" s="145">
        <f>'P3 Gen Data Privacy Principles'!G24</f>
        <v>0</v>
      </c>
      <c r="H24" s="150" t="str">
        <f>IF(OR(D24="No", E24="No", F24="No", F24="Optional"), "Collecting excessive or irrelevant personal data increases the risk of data misuse, breaches, and non-compliance with proportionality/data minimization principles.", "")</f>
        <v>Collecting excessive or irrelevant personal data increases the risk of data misuse, breaches, and non-compliance with proportionality/data minimization principles.</v>
      </c>
      <c r="I24" s="147" t="str">
        <f>IF(OR(D24="No", E24="No", F24="No", F24="Optional"), "Violation of general privacy principles – Proportionality / Data Minimization", "")</f>
        <v>Violation of general privacy principles – Proportionality / Data Minimization</v>
      </c>
      <c r="J24" s="148" t="str">
        <f>IF(OR(D24="No", E24="No", F24="Optional"), "SEC. 11, DPA ", "")</f>
        <v xml:space="preserve">SEC. 11, DPA </v>
      </c>
      <c r="K24" s="148" t="str">
        <f>IF(AND('P1 Threshold Analysis'!D5="Yes", OR(D24="No", E24="No", F24="No", F24="Optional")), 4, IF(AND('P1 Threshold Analysis'!D4="Yes", OR(D24="No", E24="No", F24="No", F24="Optional")), 3, ""))</f>
        <v/>
      </c>
      <c r="L24" s="148" t="str">
        <f>IF(AND('P1 Threshold Analysis'!D5="Yes", OR(D24="No", E24="No", F24="No", F24="Optional")), 4, IF(AND('P1 Threshold Analysis'!D4="Yes", OR(D24="No", E24="No", F24="No", F24="Optional")), 3, ""))</f>
        <v/>
      </c>
      <c r="M24" s="148" t="str">
        <f>IF(OR(K24="", L24=""), "",
 IF(K24*L24&gt;=10, IF(K24*L24&lt;=16, "High Risk", ""),
 IF(K24*L24&gt;=6, IF(K24*L24&lt;=9, "Medium Risk", ""),
 IF(K24*L24&gt;=2, IF(K24*L24&lt;=4, "Low Risk", ""),
 IF(K24*L24=1, "Negligible", "")))))</f>
        <v/>
      </c>
      <c r="N24" s="148" t="s">
        <v>388</v>
      </c>
      <c r="O24" s="147" t="s">
        <v>403</v>
      </c>
      <c r="P24" s="148" t="s">
        <v>390</v>
      </c>
      <c r="Q24" s="148" t="s">
        <v>391</v>
      </c>
      <c r="R24" s="147" t="s">
        <v>404</v>
      </c>
      <c r="S24" s="147"/>
      <c r="T24" s="147">
        <v>14</v>
      </c>
      <c r="U24" s="147" t="s">
        <v>394</v>
      </c>
      <c r="V24" s="153" t="s">
        <v>395</v>
      </c>
    </row>
    <row r="25" spans="1:22" ht="110.25" customHeight="1">
      <c r="A25" s="143"/>
      <c r="B25" s="457">
        <f>'P3 Gen Data Privacy Principles'!B25</f>
        <v>0</v>
      </c>
      <c r="C25" s="457"/>
      <c r="D25" s="148">
        <f>'P3 Gen Data Privacy Principles'!D25</f>
        <v>0</v>
      </c>
      <c r="E25" s="148">
        <f>'P3 Gen Data Privacy Principles'!E25</f>
        <v>0</v>
      </c>
      <c r="F25" s="145">
        <f>'P3 Gen Data Privacy Principles'!F25</f>
        <v>0</v>
      </c>
      <c r="G25" s="145">
        <f>'P3 Gen Data Privacy Principles'!G25</f>
        <v>0</v>
      </c>
      <c r="H25" s="150" t="str">
        <f t="shared" ref="H25:H28" si="0">IF(OR(D25="No", E25="No", F25="No", F25="Optional"), "Collecting excessive or irrelevant personal data increases the risk of data misuse, breaches, and non-compliance with proportionality/data minimization principles.", "")</f>
        <v/>
      </c>
      <c r="I25" s="147" t="str">
        <f t="shared" ref="I25:I28" si="1">IF(OR(D25="No", E25="No", F25="No", F25="Optional"), "Violation of general privacy principles – Proportionality / Data Minimization", "")</f>
        <v/>
      </c>
      <c r="J25" s="148" t="str">
        <f t="shared" ref="J25:J28" si="2">IF(OR(D25="No", E25="No", F25="No", F25="Optional"), "SEC. 11, DPA ", "")</f>
        <v/>
      </c>
      <c r="K25" s="148" t="str">
        <f>IF(AND('P1 Threshold Analysis'!D5="Yes", OR(D25="No", E25="No", F25="No", F25="Optional")), 4, IF(AND('P1 Threshold Analysis'!D4="Yes", OR(D25="No", E25="No", F25="No", F25="Optional")), 3, ""))</f>
        <v/>
      </c>
      <c r="L25" s="148" t="str">
        <f>IF(AND('P1 Threshold Analysis'!D5="Yes", OR(D25="No", E25="No", F25="No", F25="Optional")), 4, IF(AND('P1 Threshold Analysis'!D4="Yes", OR(D25="No", E25="No", F25="No", F25="Optional")), 3, ""))</f>
        <v/>
      </c>
      <c r="M25" s="148" t="str">
        <f t="shared" ref="M25:M28" si="3">IF(OR(K25="", L25=""), "",
 IF(K25*L25&gt;=10, IF(K25*L25&lt;=16, "High Risk", ""),
 IF(K25*L25&gt;=6, IF(K25*L25&lt;=9, "Medium Risk", ""),
 IF(K25*L25&gt;=2, IF(K25*L25&lt;=4, "Low Risk", ""),
 IF(K25*L25=1, "Negligible", "")))))</f>
        <v/>
      </c>
      <c r="N25" s="148" t="s">
        <v>388</v>
      </c>
      <c r="O25" s="147" t="s">
        <v>403</v>
      </c>
      <c r="P25" s="148" t="s">
        <v>390</v>
      </c>
      <c r="Q25" s="148" t="s">
        <v>391</v>
      </c>
      <c r="R25" s="147" t="s">
        <v>405</v>
      </c>
      <c r="S25" s="147"/>
      <c r="T25" s="147">
        <v>14</v>
      </c>
      <c r="U25" s="147" t="s">
        <v>394</v>
      </c>
      <c r="V25" s="153" t="s">
        <v>395</v>
      </c>
    </row>
    <row r="26" spans="1:22" ht="90.75" customHeight="1">
      <c r="A26" s="143"/>
      <c r="B26" s="457">
        <f>'P3 Gen Data Privacy Principles'!B26</f>
        <v>0</v>
      </c>
      <c r="C26" s="457"/>
      <c r="D26" s="148">
        <f>'P3 Gen Data Privacy Principles'!D26</f>
        <v>0</v>
      </c>
      <c r="E26" s="148">
        <f>'P3 Gen Data Privacy Principles'!E26</f>
        <v>0</v>
      </c>
      <c r="F26" s="145">
        <f>'P3 Gen Data Privacy Principles'!F26</f>
        <v>0</v>
      </c>
      <c r="G26" s="145">
        <f>'P3 Gen Data Privacy Principles'!G26</f>
        <v>0</v>
      </c>
      <c r="H26" s="150" t="str">
        <f t="shared" si="0"/>
        <v/>
      </c>
      <c r="I26" s="147" t="str">
        <f t="shared" si="1"/>
        <v/>
      </c>
      <c r="J26" s="148" t="str">
        <f t="shared" si="2"/>
        <v/>
      </c>
      <c r="K26" s="148" t="str">
        <f>IF(AND('P1 Threshold Analysis'!D5="Yes", OR(D26="No", E26="No", F26="No", F26="Optional")), 4, IF(AND('P1 Threshold Analysis'!D4="Yes", OR(D26="No", E26="No", F26="No", F26="Optional")), 3, ""))</f>
        <v/>
      </c>
      <c r="L26" s="148" t="str">
        <f>IF(AND('P1 Threshold Analysis'!D5="Yes", OR(D26="No", E26="No", F26="No", F26="Optional")), 4, IF(AND('P1 Threshold Analysis'!D4="Yes", OR(D26="No", E26="No", F26="No", F26="Optional")), 3, ""))</f>
        <v/>
      </c>
      <c r="M26" s="148" t="str">
        <f t="shared" si="3"/>
        <v/>
      </c>
      <c r="N26" s="148" t="s">
        <v>388</v>
      </c>
      <c r="O26" s="147" t="s">
        <v>403</v>
      </c>
      <c r="P26" s="148" t="s">
        <v>390</v>
      </c>
      <c r="Q26" s="148" t="s">
        <v>391</v>
      </c>
      <c r="R26" s="147" t="s">
        <v>406</v>
      </c>
      <c r="S26" s="147"/>
      <c r="T26" s="147">
        <v>14</v>
      </c>
      <c r="U26" s="147" t="s">
        <v>394</v>
      </c>
      <c r="V26" s="153" t="s">
        <v>395</v>
      </c>
    </row>
    <row r="27" spans="1:22" ht="90.75" customHeight="1">
      <c r="A27" s="143"/>
      <c r="B27" s="457">
        <f>'P3 Gen Data Privacy Principles'!B27</f>
        <v>0</v>
      </c>
      <c r="C27" s="457"/>
      <c r="D27" s="148">
        <f>'P3 Gen Data Privacy Principles'!D27</f>
        <v>0</v>
      </c>
      <c r="E27" s="148">
        <f>'P3 Gen Data Privacy Principles'!E27</f>
        <v>0</v>
      </c>
      <c r="F27" s="145">
        <f>'P3 Gen Data Privacy Principles'!F27</f>
        <v>0</v>
      </c>
      <c r="G27" s="145">
        <f>'P3 Gen Data Privacy Principles'!G27</f>
        <v>0</v>
      </c>
      <c r="H27" s="150" t="str">
        <f t="shared" si="0"/>
        <v/>
      </c>
      <c r="I27" s="147" t="str">
        <f t="shared" si="1"/>
        <v/>
      </c>
      <c r="J27" s="148" t="str">
        <f t="shared" si="2"/>
        <v/>
      </c>
      <c r="K27" s="148" t="str">
        <f>IF(AND('P1 Threshold Analysis'!D5="Yes", OR(D27="No", E27="No", F27="No", F27="Optional")), 4, IF(AND('P1 Threshold Analysis'!D4="Yes", OR(D27="No", E27="No", F27="No", F27="Optional")), 3, ""))</f>
        <v/>
      </c>
      <c r="L27" s="148" t="str">
        <f>IF(AND('P1 Threshold Analysis'!D5="Yes", OR(D27="No", E27="No", F27="No", F27="Optional")), 4, IF(AND('P1 Threshold Analysis'!D4="Yes", OR(D27="No", E27="No", F27="No", F27="Optional")), 3, ""))</f>
        <v/>
      </c>
      <c r="M27" s="148" t="str">
        <f t="shared" si="3"/>
        <v/>
      </c>
      <c r="N27" s="148" t="s">
        <v>388</v>
      </c>
      <c r="O27" s="147" t="s">
        <v>403</v>
      </c>
      <c r="P27" s="148" t="s">
        <v>390</v>
      </c>
      <c r="Q27" s="148" t="s">
        <v>391</v>
      </c>
      <c r="R27" s="147" t="s">
        <v>407</v>
      </c>
      <c r="S27" s="147"/>
      <c r="T27" s="147">
        <v>14</v>
      </c>
      <c r="U27" s="147" t="s">
        <v>394</v>
      </c>
      <c r="V27" s="153" t="s">
        <v>395</v>
      </c>
    </row>
    <row r="28" spans="1:22" ht="90.75" customHeight="1">
      <c r="A28" s="143"/>
      <c r="B28" s="457">
        <f>'P3 Gen Data Privacy Principles'!B28</f>
        <v>0</v>
      </c>
      <c r="C28" s="457"/>
      <c r="D28" s="148">
        <f>'P3 Gen Data Privacy Principles'!D28</f>
        <v>0</v>
      </c>
      <c r="E28" s="148">
        <f>'P3 Gen Data Privacy Principles'!E28</f>
        <v>0</v>
      </c>
      <c r="F28" s="145">
        <f>'P3 Gen Data Privacy Principles'!F28</f>
        <v>0</v>
      </c>
      <c r="G28" s="145">
        <f>'P3 Gen Data Privacy Principles'!G28</f>
        <v>0</v>
      </c>
      <c r="H28" s="150" t="str">
        <f t="shared" si="0"/>
        <v/>
      </c>
      <c r="I28" s="147" t="str">
        <f t="shared" si="1"/>
        <v/>
      </c>
      <c r="J28" s="148" t="str">
        <f t="shared" si="2"/>
        <v/>
      </c>
      <c r="K28" s="148" t="str">
        <f>IF(AND('P1 Threshold Analysis'!D5="Yes", OR(D28="No", E28="No", F28="No", F28="Optional")), 4, IF(AND('P1 Threshold Analysis'!D4="Yes", OR(D28="No", E28="No", F28="No", F28="Optional")), 3, ""))</f>
        <v/>
      </c>
      <c r="L28" s="148" t="str">
        <f>IF(AND('P1 Threshold Analysis'!D5="Yes", OR(D28="No", E28="No", F28="No", F28="Optional")), 4, IF(AND('P1 Threshold Analysis'!D4="Yes", OR(D28="No", E28="No", F28="No", F28="Optional")), 3, ""))</f>
        <v/>
      </c>
      <c r="M28" s="148" t="str">
        <f t="shared" si="3"/>
        <v/>
      </c>
      <c r="N28" s="148" t="s">
        <v>388</v>
      </c>
      <c r="O28" s="147" t="s">
        <v>403</v>
      </c>
      <c r="P28" s="148" t="s">
        <v>390</v>
      </c>
      <c r="Q28" s="148" t="s">
        <v>391</v>
      </c>
      <c r="R28" s="147" t="s">
        <v>408</v>
      </c>
      <c r="S28" s="147"/>
      <c r="T28" s="147">
        <v>14</v>
      </c>
      <c r="U28" s="147" t="s">
        <v>394</v>
      </c>
      <c r="V28" s="153" t="s">
        <v>395</v>
      </c>
    </row>
    <row r="29" spans="1:22" s="2" customFormat="1" ht="26.45" customHeight="1">
      <c r="A29" s="151"/>
      <c r="B29" s="455" t="s">
        <v>148</v>
      </c>
      <c r="C29" s="455"/>
      <c r="D29" s="455"/>
      <c r="E29" s="455"/>
      <c r="F29" s="455"/>
      <c r="G29" s="455"/>
      <c r="H29" s="455"/>
      <c r="I29" s="455"/>
      <c r="J29" s="455"/>
      <c r="K29" s="455"/>
      <c r="L29" s="455"/>
      <c r="M29" s="455"/>
      <c r="N29" s="448"/>
      <c r="O29" s="448"/>
      <c r="P29" s="448"/>
      <c r="Q29" s="448"/>
      <c r="R29" s="448"/>
      <c r="S29" s="448"/>
      <c r="T29" s="448"/>
      <c r="U29" s="448"/>
      <c r="V29" s="448"/>
    </row>
    <row r="30" spans="1:22" ht="134.25" customHeight="1">
      <c r="A30" s="143"/>
      <c r="B30" s="144">
        <v>1</v>
      </c>
      <c r="C30" s="454" t="s">
        <v>149</v>
      </c>
      <c r="D30" s="454"/>
      <c r="E30" s="454"/>
      <c r="F30" s="148">
        <f>'P3 Gen Data Privacy Principles'!F30</f>
        <v>0</v>
      </c>
      <c r="G30" s="149"/>
      <c r="H30" s="150" t="str">
        <f>IF(F30="No", "The use of biased or manipulative language in the Privacy Notice/Consent Form undermines the clarity of consent, potentially leading to invalid consent and non-compliance with data protection regulations. ", "")</f>
        <v/>
      </c>
      <c r="I30" s="147" t="str">
        <f>IF(F30="No", "Violation of general privacy principles – Fairness ", "")</f>
        <v/>
      </c>
      <c r="J30" s="148" t="str">
        <f>IF(F30="No", "SEC. 11, DPA  ", "")</f>
        <v/>
      </c>
      <c r="K30" s="148" t="str">
        <f>IF(AND(F30="No", 'P1 Threshold Analysis'!D5="Yes"), 4, IF(AND(F30="No", 'P1 Threshold Analysis'!D4="Yes"),3,""))</f>
        <v/>
      </c>
      <c r="L30" s="148" t="str">
        <f>IF(AND(F30="No", 'P1 Threshold Analysis'!D5="Yes"), 4, IF(AND(F30="No", 'P1 Threshold Analysis'!D4="Yes"),3,""))</f>
        <v/>
      </c>
      <c r="M30" s="148" t="str">
        <f>IF(OR(K30="", L30=""), "",
 IF(K30*L30&gt;=10, IF(K30*L30&lt;=16, "High Risk", ""),
 IF(K30*L30&gt;=6, IF(K30*L30&lt;=9, "Medium Risk", ""),
 IF(K30*L30&gt;=2, IF(K30*L30&lt;=4, "Low Risk", ""),
 IF(K30*L30=1, "Negligible", "")))))</f>
        <v/>
      </c>
      <c r="N30" s="148" t="s">
        <v>388</v>
      </c>
      <c r="O30" s="147" t="s">
        <v>409</v>
      </c>
      <c r="P30" s="148" t="s">
        <v>390</v>
      </c>
      <c r="Q30" s="148" t="s">
        <v>391</v>
      </c>
      <c r="R30" s="147" t="s">
        <v>410</v>
      </c>
      <c r="S30" s="147"/>
      <c r="T30" s="147">
        <v>7</v>
      </c>
      <c r="U30" s="159" t="s">
        <v>394</v>
      </c>
      <c r="V30" s="153" t="s">
        <v>395</v>
      </c>
    </row>
    <row r="31" spans="1:22" s="2" customFormat="1" ht="26.45" customHeight="1">
      <c r="A31" s="151"/>
      <c r="B31" s="455" t="s">
        <v>150</v>
      </c>
      <c r="C31" s="455"/>
      <c r="D31" s="455"/>
      <c r="E31" s="455"/>
      <c r="F31" s="455"/>
      <c r="G31" s="455"/>
      <c r="H31" s="455"/>
      <c r="I31" s="455"/>
      <c r="J31" s="455"/>
      <c r="K31" s="455"/>
      <c r="L31" s="455"/>
      <c r="M31" s="455"/>
      <c r="N31" s="448"/>
      <c r="O31" s="448"/>
      <c r="P31" s="448"/>
      <c r="Q31" s="448"/>
      <c r="R31" s="448"/>
      <c r="S31" s="448"/>
      <c r="T31" s="448"/>
      <c r="U31" s="448"/>
      <c r="V31" s="448"/>
    </row>
    <row r="32" spans="1:22" ht="21" customHeight="1">
      <c r="A32" s="143"/>
      <c r="B32" s="450">
        <v>1</v>
      </c>
      <c r="C32" s="451" t="s">
        <v>151</v>
      </c>
      <c r="D32" s="451"/>
      <c r="E32" s="451"/>
      <c r="F32" s="145">
        <f>'P3 Gen Data Privacy Principles'!F32</f>
        <v>0</v>
      </c>
      <c r="G32" s="146"/>
      <c r="H32" s="452" t="str">
        <f>IF(F32="No", "Inaccurate or outdated personal data can lead to incorrect decisions, harm to data subjects, and non-compliance with data accuracy requirements, undermining the integrity of the processing system. ", "")</f>
        <v/>
      </c>
      <c r="I32" s="443" t="str">
        <f>IF(F32="No", "Violation of general privacy principles – Accuracy  ", "")</f>
        <v/>
      </c>
      <c r="J32" s="444" t="str">
        <f>IF(F32="No", "SEC. 11, DPA  ", "")</f>
        <v/>
      </c>
      <c r="K32" s="444" t="str">
        <f>IF(AND(F32="No", 'P1 Threshold Analysis'!D5="Yes"), 4, IF(AND(F32="No", 'P1 Threshold Analysis'!D4="Yes"),3,""))</f>
        <v/>
      </c>
      <c r="L32" s="444" t="str">
        <f>IF(AND(F32="No", 'P1 Threshold Analysis'!D5="Yes"), 4, IF(AND(F32="No", 'P1 Threshold Analysis'!D4="Yes"),3,""))</f>
        <v/>
      </c>
      <c r="M32" s="444" t="str">
        <f>IF(OR(K32="", L32=""), "",
 IF(K32*L32&gt;=10, IF(K32*L32&lt;=16, "High Risk", ""),
 IF(K32*L32&gt;=6, IF(K32*L32&lt;=9, "Medium Risk", ""),
 IF(K32*L32&gt;=2, IF(K32*L32&lt;=4, "Low Risk", ""),
 IF(K32*L32=1, "Negligible", "")))))</f>
        <v/>
      </c>
      <c r="N32" s="444" t="s">
        <v>388</v>
      </c>
      <c r="O32" s="443" t="s">
        <v>411</v>
      </c>
      <c r="P32" s="444" t="s">
        <v>390</v>
      </c>
      <c r="Q32" s="444" t="s">
        <v>391</v>
      </c>
      <c r="R32" s="443" t="s">
        <v>412</v>
      </c>
      <c r="S32" s="443"/>
      <c r="T32" s="443">
        <v>30</v>
      </c>
      <c r="U32" s="445" t="s">
        <v>394</v>
      </c>
      <c r="V32" s="447" t="s">
        <v>395</v>
      </c>
    </row>
    <row r="33" spans="1:22" ht="21" customHeight="1">
      <c r="A33" s="143"/>
      <c r="B33" s="450"/>
      <c r="C33" s="449" t="s">
        <v>152</v>
      </c>
      <c r="D33" s="449"/>
      <c r="E33" s="449"/>
      <c r="F33" s="145" t="b">
        <f>'P3 Gen Data Privacy Principles'!F33</f>
        <v>0</v>
      </c>
      <c r="G33" s="149"/>
      <c r="H33" s="452"/>
      <c r="I33" s="443"/>
      <c r="J33" s="444"/>
      <c r="K33" s="444"/>
      <c r="L33" s="444"/>
      <c r="M33" s="444"/>
      <c r="N33" s="444"/>
      <c r="O33" s="443"/>
      <c r="P33" s="444"/>
      <c r="Q33" s="444"/>
      <c r="R33" s="443"/>
      <c r="S33" s="443"/>
      <c r="T33" s="443"/>
      <c r="U33" s="445"/>
      <c r="V33" s="447"/>
    </row>
    <row r="34" spans="1:22" ht="21" customHeight="1">
      <c r="A34" s="143"/>
      <c r="B34" s="450"/>
      <c r="C34" s="449" t="s">
        <v>153</v>
      </c>
      <c r="D34" s="449"/>
      <c r="E34" s="449"/>
      <c r="F34" s="145" t="b">
        <f>'P3 Gen Data Privacy Principles'!F34</f>
        <v>0</v>
      </c>
      <c r="G34" s="149"/>
      <c r="H34" s="452"/>
      <c r="I34" s="443"/>
      <c r="J34" s="444"/>
      <c r="K34" s="444"/>
      <c r="L34" s="444"/>
      <c r="M34" s="444"/>
      <c r="N34" s="444"/>
      <c r="O34" s="443"/>
      <c r="P34" s="444"/>
      <c r="Q34" s="444"/>
      <c r="R34" s="443"/>
      <c r="S34" s="443"/>
      <c r="T34" s="443"/>
      <c r="U34" s="445"/>
      <c r="V34" s="447"/>
    </row>
    <row r="35" spans="1:22" ht="21" customHeight="1">
      <c r="A35" s="143"/>
      <c r="B35" s="450"/>
      <c r="C35" s="449" t="s">
        <v>154</v>
      </c>
      <c r="D35" s="449"/>
      <c r="E35" s="449"/>
      <c r="F35" s="145" t="b">
        <f>'P3 Gen Data Privacy Principles'!F35</f>
        <v>0</v>
      </c>
      <c r="G35" s="149"/>
      <c r="H35" s="452"/>
      <c r="I35" s="443"/>
      <c r="J35" s="444"/>
      <c r="K35" s="444"/>
      <c r="L35" s="444"/>
      <c r="M35" s="444"/>
      <c r="N35" s="444"/>
      <c r="O35" s="443"/>
      <c r="P35" s="444"/>
      <c r="Q35" s="444"/>
      <c r="R35" s="443"/>
      <c r="S35" s="443"/>
      <c r="T35" s="443"/>
      <c r="U35" s="445"/>
      <c r="V35" s="447"/>
    </row>
    <row r="36" spans="1:22" ht="56.45" customHeight="1">
      <c r="A36" s="143"/>
      <c r="B36" s="450"/>
      <c r="C36" s="449" t="s">
        <v>155</v>
      </c>
      <c r="D36" s="449"/>
      <c r="E36" s="449"/>
      <c r="F36" s="145" t="b">
        <f>'P3 Gen Data Privacy Principles'!F36</f>
        <v>0</v>
      </c>
      <c r="G36" s="149"/>
      <c r="H36" s="452"/>
      <c r="I36" s="443"/>
      <c r="J36" s="444"/>
      <c r="K36" s="444"/>
      <c r="L36" s="444"/>
      <c r="M36" s="444"/>
      <c r="N36" s="444"/>
      <c r="O36" s="443"/>
      <c r="P36" s="444"/>
      <c r="Q36" s="444"/>
      <c r="R36" s="443"/>
      <c r="S36" s="443"/>
      <c r="T36" s="443"/>
      <c r="U36" s="445"/>
      <c r="V36" s="447"/>
    </row>
    <row r="37" spans="1:22" ht="35.1" customHeight="1">
      <c r="A37" s="143"/>
      <c r="B37" s="450">
        <v>2</v>
      </c>
      <c r="C37" s="451" t="s">
        <v>156</v>
      </c>
      <c r="D37" s="451"/>
      <c r="E37" s="451"/>
      <c r="F37" s="145">
        <f>'P3 Gen Data Privacy Principles'!F37</f>
        <v>0</v>
      </c>
      <c r="G37" s="146"/>
      <c r="H37" s="452" t="str">
        <f>IF(F37="No", "Failure to rectify or restrict processing of inaccurate or incomplete data compromises data quality and may result in violations of data subjects’ rights. ", "")</f>
        <v/>
      </c>
      <c r="I37" s="443" t="str">
        <f>IF(F37="No", "Violation of general privacy principles – Accuracy  ", "")</f>
        <v/>
      </c>
      <c r="J37" s="444" t="str">
        <f>IF(F37="No", "SEC. 11, DPA  ", "")</f>
        <v/>
      </c>
      <c r="K37" s="444" t="str">
        <f>IF(AND(F37="No", 'P1 Threshold Analysis'!D5="Yes"), 4, IF(AND(F37="No", 'P1 Threshold Analysis'!D4="Yes"),3,""))</f>
        <v/>
      </c>
      <c r="L37" s="444" t="str">
        <f>IF(AND(F37="No", 'P1 Threshold Analysis'!D5="Yes"), 4, IF(AND(F37="No", 'P1 Threshold Analysis'!D4="Yes"),3,""))</f>
        <v/>
      </c>
      <c r="M37" s="444" t="str">
        <f>IF(OR(K37="", L37=""), "",
 IF(K37*L37&gt;=10, IF(K37*L37&lt;=16, "High Risk", ""),
 IF(K37*L37&gt;=6, IF(K37*L37&lt;=9, "Medium Risk", ""),
 IF(K37*L37&gt;=2, IF(K37*L37&lt;=4, "Low Risk", ""),
 IF(K37*L37=1, "Negligible", "")))))</f>
        <v/>
      </c>
      <c r="N37" s="444" t="s">
        <v>388</v>
      </c>
      <c r="O37" s="443" t="s">
        <v>413</v>
      </c>
      <c r="P37" s="444" t="s">
        <v>390</v>
      </c>
      <c r="Q37" s="444" t="s">
        <v>391</v>
      </c>
      <c r="R37" s="443" t="s">
        <v>414</v>
      </c>
      <c r="S37" s="443"/>
      <c r="T37" s="443">
        <v>30</v>
      </c>
      <c r="U37" s="445" t="s">
        <v>394</v>
      </c>
      <c r="V37" s="446" t="s">
        <v>395</v>
      </c>
    </row>
    <row r="38" spans="1:22" ht="17.45" customHeight="1">
      <c r="A38" s="143"/>
      <c r="B38" s="450"/>
      <c r="C38" s="449" t="s">
        <v>157</v>
      </c>
      <c r="D38" s="449"/>
      <c r="E38" s="449"/>
      <c r="F38" s="145" t="b">
        <f>'P3 Gen Data Privacy Principles'!F38</f>
        <v>0</v>
      </c>
      <c r="G38" s="149"/>
      <c r="H38" s="452"/>
      <c r="I38" s="443"/>
      <c r="J38" s="444"/>
      <c r="K38" s="444"/>
      <c r="L38" s="444"/>
      <c r="M38" s="444"/>
      <c r="N38" s="444"/>
      <c r="O38" s="443"/>
      <c r="P38" s="444"/>
      <c r="Q38" s="444"/>
      <c r="R38" s="443"/>
      <c r="S38" s="443"/>
      <c r="T38" s="443"/>
      <c r="U38" s="443"/>
      <c r="V38" s="447"/>
    </row>
    <row r="39" spans="1:22" ht="17.45" customHeight="1">
      <c r="A39" s="143"/>
      <c r="B39" s="450"/>
      <c r="C39" s="449" t="s">
        <v>415</v>
      </c>
      <c r="D39" s="449"/>
      <c r="E39" s="449"/>
      <c r="F39" s="145" t="b">
        <f>'P3 Gen Data Privacy Principles'!F39</f>
        <v>0</v>
      </c>
      <c r="G39" s="149"/>
      <c r="H39" s="452"/>
      <c r="I39" s="443"/>
      <c r="J39" s="444"/>
      <c r="K39" s="444"/>
      <c r="L39" s="444"/>
      <c r="M39" s="444"/>
      <c r="N39" s="444"/>
      <c r="O39" s="443"/>
      <c r="P39" s="444"/>
      <c r="Q39" s="444"/>
      <c r="R39" s="443"/>
      <c r="S39" s="443"/>
      <c r="T39" s="443"/>
      <c r="U39" s="443"/>
      <c r="V39" s="447"/>
    </row>
    <row r="40" spans="1:22" ht="82.5" customHeight="1">
      <c r="A40" s="143"/>
      <c r="B40" s="450"/>
      <c r="C40" s="449" t="s">
        <v>159</v>
      </c>
      <c r="D40" s="449"/>
      <c r="E40" s="449"/>
      <c r="F40" s="145" t="b">
        <f>'P3 Gen Data Privacy Principles'!F40</f>
        <v>0</v>
      </c>
      <c r="G40" s="149"/>
      <c r="H40" s="452"/>
      <c r="I40" s="443"/>
      <c r="J40" s="444"/>
      <c r="K40" s="444"/>
      <c r="L40" s="444"/>
      <c r="M40" s="444"/>
      <c r="N40" s="444"/>
      <c r="O40" s="443"/>
      <c r="P40" s="444"/>
      <c r="Q40" s="444"/>
      <c r="R40" s="443"/>
      <c r="S40" s="443"/>
      <c r="T40" s="443"/>
      <c r="U40" s="443"/>
      <c r="V40" s="447"/>
    </row>
    <row r="41" spans="1:22" s="2" customFormat="1" ht="26.45" customHeight="1">
      <c r="A41" s="151"/>
      <c r="B41" s="453" t="s">
        <v>160</v>
      </c>
      <c r="C41" s="453"/>
      <c r="D41" s="453"/>
      <c r="E41" s="453"/>
      <c r="F41" s="453"/>
      <c r="G41" s="453"/>
      <c r="H41" s="453"/>
      <c r="I41" s="453"/>
      <c r="J41" s="453"/>
      <c r="K41" s="453"/>
      <c r="L41" s="453"/>
      <c r="M41" s="453"/>
      <c r="N41" s="448"/>
      <c r="O41" s="448"/>
      <c r="P41" s="448"/>
      <c r="Q41" s="448"/>
      <c r="R41" s="448"/>
      <c r="S41" s="448"/>
      <c r="T41" s="448"/>
      <c r="U41" s="448"/>
      <c r="V41" s="448"/>
    </row>
    <row r="42" spans="1:22" ht="126" customHeight="1">
      <c r="A42" s="143"/>
      <c r="B42" s="144">
        <v>1</v>
      </c>
      <c r="C42" s="461" t="s">
        <v>161</v>
      </c>
      <c r="D42" s="454"/>
      <c r="E42" s="454"/>
      <c r="F42" s="148">
        <f>'P3 Gen Data Privacy Principles'!F42</f>
        <v>0</v>
      </c>
      <c r="G42" s="149"/>
      <c r="H42" s="150" t="str">
        <f>IF(F42="No", "Processing personal data for unspecified or incompatible purposes increases the risk of unauthorized use, undermining data subject trust and exposing the organization to regulatory penalties. ", "")</f>
        <v/>
      </c>
      <c r="I42" s="147" t="str">
        <f>IF(F42="No", "Violation of general privacy principles – Purpose Limitation
Unlawful Processing - Processing of Personal Data for Unauthorized Purposes   ", "")</f>
        <v/>
      </c>
      <c r="J42" s="147" t="str">
        <f>IF(F42="No", "SEC. 11, DPA 
SEC. 28, DPA   ", "")</f>
        <v/>
      </c>
      <c r="K42" s="148" t="str">
        <f>IF(AND(F42="No", 'P1 Threshold Analysis'!D5="Yes"), 4, IF(AND(F42="No", 'P1 Threshold Analysis'!D4="Yes"),3,""))</f>
        <v/>
      </c>
      <c r="L42" s="148" t="str">
        <f>IF(AND(F42="No", 'P1 Threshold Analysis'!D5="Yes"), 4, IF(AND(F42="No", 'P1 Threshold Analysis'!D4="Yes"),3,""))</f>
        <v/>
      </c>
      <c r="M42" s="148" t="str">
        <f>IF(OR(K42="", L42=""), "",
 IF(K42*L42&gt;=10, IF(K42*L42&lt;=16, "High Risk", ""),
 IF(K42*L42&gt;=6, IF(K42*L42&lt;=9, "Medium Risk", ""),
 IF(K42*L42&gt;=2, IF(K42*L42&lt;=4, "Low Risk", ""),
 IF(K42*L42=1, "Negligible", "")))))</f>
        <v/>
      </c>
      <c r="N42" s="148" t="s">
        <v>388</v>
      </c>
      <c r="O42" s="147" t="s">
        <v>416</v>
      </c>
      <c r="P42" s="148" t="s">
        <v>390</v>
      </c>
      <c r="Q42" s="148" t="s">
        <v>391</v>
      </c>
      <c r="R42" s="147" t="s">
        <v>417</v>
      </c>
      <c r="S42" s="147"/>
      <c r="T42" s="147">
        <v>1</v>
      </c>
      <c r="U42" s="159" t="s">
        <v>394</v>
      </c>
      <c r="V42" s="153" t="s">
        <v>395</v>
      </c>
    </row>
    <row r="43" spans="1:22" s="2" customFormat="1" ht="26.45" customHeight="1">
      <c r="A43" s="151"/>
      <c r="B43" s="455" t="s">
        <v>162</v>
      </c>
      <c r="C43" s="455"/>
      <c r="D43" s="455"/>
      <c r="E43" s="455"/>
      <c r="F43" s="455"/>
      <c r="G43" s="455"/>
      <c r="H43" s="455"/>
      <c r="I43" s="455"/>
      <c r="J43" s="455"/>
      <c r="K43" s="455"/>
      <c r="L43" s="455"/>
      <c r="M43" s="455"/>
      <c r="N43" s="448"/>
      <c r="O43" s="448"/>
      <c r="P43" s="448"/>
      <c r="Q43" s="448"/>
      <c r="R43" s="448"/>
      <c r="S43" s="448"/>
      <c r="T43" s="448"/>
      <c r="U43" s="448"/>
      <c r="V43" s="448"/>
    </row>
    <row r="44" spans="1:22" ht="34.5" customHeight="1">
      <c r="A44" s="143"/>
      <c r="B44" s="450">
        <v>1</v>
      </c>
      <c r="C44" s="451" t="s">
        <v>163</v>
      </c>
      <c r="D44" s="451"/>
      <c r="E44" s="451"/>
      <c r="F44" s="148">
        <f>'P3 Gen Data Privacy Principles'!F44</f>
        <v>0</v>
      </c>
      <c r="G44" s="146"/>
      <c r="H44" s="452" t="str">
        <f>IF(F44="No", "Retaining personal data longer than necessary increases the risk of data breaches, unauthorized access, and non-compliance with data retention policies.", "")</f>
        <v/>
      </c>
      <c r="I44" s="443" t="str">
        <f>IF(F44="No", "Violation of general privacy principles – Storage Limitation","")</f>
        <v/>
      </c>
      <c r="J44" s="443" t="str">
        <f>IF(F44="No", " 
SEC. 11, DPA ","")</f>
        <v/>
      </c>
      <c r="K44" s="444" t="str">
        <f>IF(AND(F44="No", 'P1 Threshold Analysis'!D5="Yes"), 4, IF(AND(F44="No", 'P1 Threshold Analysis'!D4="Yes"),3,""))</f>
        <v/>
      </c>
      <c r="L44" s="444" t="str">
        <f>IF(AND(F44="No", 'P1 Threshold Analysis'!D5="Yes"), 4, IF(AND(F44="No", 'P1 Threshold Analysis'!D4="Yes"),3,""))</f>
        <v/>
      </c>
      <c r="M44" s="444" t="str">
        <f>IF(OR(K44="", L44=""), "",
 IF(K44*L44&gt;=10, IF(K44*L44&lt;=16, "High Risk", ""),
 IF(K44*L44&gt;=6, IF(K44*L44&lt;=9, "Medium Risk", ""),
 IF(K44*L44&gt;=2, IF(K44*L44&lt;=4, "Low Risk", ""),
 IF(K44*L44=1, "Negligible", "")))))</f>
        <v/>
      </c>
      <c r="N44" s="444" t="s">
        <v>388</v>
      </c>
      <c r="O44" s="443" t="s">
        <v>418</v>
      </c>
      <c r="P44" s="444" t="s">
        <v>390</v>
      </c>
      <c r="Q44" s="444" t="s">
        <v>391</v>
      </c>
      <c r="R44" s="443" t="s">
        <v>419</v>
      </c>
      <c r="S44" s="443"/>
      <c r="T44" s="443">
        <v>30</v>
      </c>
      <c r="U44" s="445" t="s">
        <v>394</v>
      </c>
      <c r="V44" s="446" t="s">
        <v>395</v>
      </c>
    </row>
    <row r="45" spans="1:22" ht="15.95" customHeight="1">
      <c r="A45" s="143"/>
      <c r="B45" s="450"/>
      <c r="C45" s="449" t="s">
        <v>164</v>
      </c>
      <c r="D45" s="449"/>
      <c r="E45" s="449"/>
      <c r="F45" s="148" t="b">
        <f>'P3 Gen Data Privacy Principles'!F45</f>
        <v>0</v>
      </c>
      <c r="G45" s="149"/>
      <c r="H45" s="452"/>
      <c r="I45" s="443"/>
      <c r="J45" s="443"/>
      <c r="K45" s="444"/>
      <c r="L45" s="444"/>
      <c r="M45" s="444"/>
      <c r="N45" s="444"/>
      <c r="O45" s="443"/>
      <c r="P45" s="444"/>
      <c r="Q45" s="444"/>
      <c r="R45" s="443"/>
      <c r="S45" s="443"/>
      <c r="T45" s="443"/>
      <c r="U45" s="443"/>
      <c r="V45" s="447"/>
    </row>
    <row r="46" spans="1:22" ht="15.95" customHeight="1">
      <c r="A46" s="143"/>
      <c r="B46" s="450"/>
      <c r="C46" s="449" t="s">
        <v>165</v>
      </c>
      <c r="D46" s="449"/>
      <c r="E46" s="449"/>
      <c r="F46" s="148" t="b">
        <f>'P3 Gen Data Privacy Principles'!F46</f>
        <v>0</v>
      </c>
      <c r="G46" s="149"/>
      <c r="H46" s="452"/>
      <c r="I46" s="443"/>
      <c r="J46" s="443"/>
      <c r="K46" s="444"/>
      <c r="L46" s="444"/>
      <c r="M46" s="444"/>
      <c r="N46" s="444"/>
      <c r="O46" s="443"/>
      <c r="P46" s="444"/>
      <c r="Q46" s="444"/>
      <c r="R46" s="443"/>
      <c r="S46" s="443"/>
      <c r="T46" s="443"/>
      <c r="U46" s="443"/>
      <c r="V46" s="447"/>
    </row>
    <row r="47" spans="1:22" ht="15.95" customHeight="1">
      <c r="A47" s="143"/>
      <c r="B47" s="450"/>
      <c r="C47" s="449" t="s">
        <v>166</v>
      </c>
      <c r="D47" s="449"/>
      <c r="E47" s="449"/>
      <c r="F47" s="148" t="b">
        <f>'P3 Gen Data Privacy Principles'!F47</f>
        <v>0</v>
      </c>
      <c r="G47" s="149"/>
      <c r="H47" s="452"/>
      <c r="I47" s="443"/>
      <c r="J47" s="443"/>
      <c r="K47" s="444"/>
      <c r="L47" s="444"/>
      <c r="M47" s="444"/>
      <c r="N47" s="444"/>
      <c r="O47" s="443"/>
      <c r="P47" s="444"/>
      <c r="Q47" s="444"/>
      <c r="R47" s="443"/>
      <c r="S47" s="443"/>
      <c r="T47" s="443"/>
      <c r="U47" s="443"/>
      <c r="V47" s="447"/>
    </row>
    <row r="48" spans="1:22" ht="15.95" customHeight="1">
      <c r="A48" s="143"/>
      <c r="B48" s="450"/>
      <c r="C48" s="449" t="s">
        <v>167</v>
      </c>
      <c r="D48" s="449"/>
      <c r="E48" s="449"/>
      <c r="F48" s="148" t="b">
        <f>'P3 Gen Data Privacy Principles'!F48</f>
        <v>0</v>
      </c>
      <c r="G48" s="149"/>
      <c r="H48" s="452"/>
      <c r="I48" s="443"/>
      <c r="J48" s="443"/>
      <c r="K48" s="444"/>
      <c r="L48" s="444"/>
      <c r="M48" s="444"/>
      <c r="N48" s="444"/>
      <c r="O48" s="443"/>
      <c r="P48" s="444"/>
      <c r="Q48" s="444"/>
      <c r="R48" s="443"/>
      <c r="S48" s="443"/>
      <c r="T48" s="443"/>
      <c r="U48" s="443"/>
      <c r="V48" s="447"/>
    </row>
    <row r="49" spans="1:22" ht="27" customHeight="1">
      <c r="A49" s="143"/>
      <c r="B49" s="450"/>
      <c r="C49" s="449" t="s">
        <v>168</v>
      </c>
      <c r="D49" s="449"/>
      <c r="E49" s="449"/>
      <c r="F49" s="148" t="b">
        <f>'P3 Gen Data Privacy Principles'!F49</f>
        <v>0</v>
      </c>
      <c r="G49" s="149"/>
      <c r="H49" s="452"/>
      <c r="I49" s="443"/>
      <c r="J49" s="443"/>
      <c r="K49" s="444"/>
      <c r="L49" s="444"/>
      <c r="M49" s="444"/>
      <c r="N49" s="444"/>
      <c r="O49" s="443"/>
      <c r="P49" s="444"/>
      <c r="Q49" s="444"/>
      <c r="R49" s="443"/>
      <c r="S49" s="443"/>
      <c r="T49" s="443"/>
      <c r="U49" s="443"/>
      <c r="V49" s="447"/>
    </row>
    <row r="50" spans="1:22" ht="24.75" customHeight="1">
      <c r="A50" s="160"/>
      <c r="B50" s="453" t="s">
        <v>174</v>
      </c>
      <c r="C50" s="453"/>
      <c r="D50" s="453"/>
      <c r="E50" s="453"/>
      <c r="F50" s="453"/>
      <c r="G50" s="453"/>
      <c r="H50" s="453"/>
      <c r="I50" s="453"/>
      <c r="J50" s="453"/>
      <c r="K50" s="453"/>
      <c r="L50" s="453"/>
      <c r="M50" s="453"/>
      <c r="N50" s="453"/>
      <c r="O50" s="462"/>
      <c r="P50" s="462"/>
      <c r="Q50" s="462"/>
      <c r="R50" s="462"/>
      <c r="S50" s="462"/>
      <c r="T50" s="462"/>
      <c r="U50" s="462"/>
      <c r="V50" s="462"/>
    </row>
    <row r="51" spans="1:22" ht="14.1" customHeight="1">
      <c r="A51" s="154" t="s">
        <v>32</v>
      </c>
      <c r="B51" s="456" t="s">
        <v>118</v>
      </c>
      <c r="C51" s="456"/>
      <c r="D51" s="456"/>
      <c r="E51" s="456" t="s">
        <v>176</v>
      </c>
      <c r="F51" s="456"/>
      <c r="G51" s="154" t="s">
        <v>35</v>
      </c>
      <c r="H51" s="155" t="s">
        <v>120</v>
      </c>
      <c r="I51" s="155" t="s">
        <v>121</v>
      </c>
      <c r="J51" s="155" t="s">
        <v>122</v>
      </c>
      <c r="K51" s="155" t="s">
        <v>123</v>
      </c>
      <c r="L51" s="155" t="s">
        <v>124</v>
      </c>
      <c r="M51" s="155" t="s">
        <v>125</v>
      </c>
      <c r="N51" s="155" t="s">
        <v>379</v>
      </c>
      <c r="O51" s="161" t="s">
        <v>380</v>
      </c>
      <c r="P51" s="155" t="s">
        <v>381</v>
      </c>
      <c r="Q51" s="155" t="s">
        <v>382</v>
      </c>
      <c r="R51" s="161" t="s">
        <v>383</v>
      </c>
      <c r="S51" s="161" t="s">
        <v>384</v>
      </c>
      <c r="T51" s="161" t="s">
        <v>385</v>
      </c>
      <c r="U51" s="161" t="s">
        <v>386</v>
      </c>
      <c r="V51" s="162" t="s">
        <v>387</v>
      </c>
    </row>
    <row r="52" spans="1:22" ht="171.95" customHeight="1">
      <c r="A52" s="144">
        <v>1</v>
      </c>
      <c r="B52" s="461" t="s">
        <v>177</v>
      </c>
      <c r="C52" s="454"/>
      <c r="D52" s="454"/>
      <c r="E52" s="444" t="s">
        <v>420</v>
      </c>
      <c r="F52" s="444"/>
      <c r="G52" s="149">
        <f>'P3 Data Subject Rights'!H11</f>
        <v>0</v>
      </c>
      <c r="H52" s="147" t="str">
        <f>'P3 Data Subject Rights'!I11</f>
        <v/>
      </c>
      <c r="I52" s="147" t="str">
        <f>'P3 Data Subject Rights'!J11</f>
        <v/>
      </c>
      <c r="J52" s="147" t="str">
        <f>'P3 Data Subject Rights'!K11</f>
        <v/>
      </c>
      <c r="K52" s="147" t="str">
        <f>'P3 Data Subject Rights'!L11</f>
        <v/>
      </c>
      <c r="L52" s="147" t="str">
        <f>'P3 Data Subject Rights'!M11</f>
        <v/>
      </c>
      <c r="M52" s="147" t="str">
        <f>'P3 Data Subject Rights'!N11</f>
        <v/>
      </c>
      <c r="N52" s="148" t="s">
        <v>388</v>
      </c>
      <c r="O52" s="159" t="s">
        <v>421</v>
      </c>
      <c r="P52" s="150" t="s">
        <v>390</v>
      </c>
      <c r="Q52" s="148" t="s">
        <v>391</v>
      </c>
      <c r="R52" s="147" t="s">
        <v>422</v>
      </c>
      <c r="S52" s="149"/>
      <c r="T52" s="149">
        <v>7</v>
      </c>
      <c r="U52" s="147" t="s">
        <v>394</v>
      </c>
      <c r="V52" s="153" t="s">
        <v>395</v>
      </c>
    </row>
    <row r="53" spans="1:22" ht="14.1" customHeight="1">
      <c r="A53" s="450">
        <v>2</v>
      </c>
      <c r="B53" s="467" t="s">
        <v>178</v>
      </c>
      <c r="C53" s="467"/>
      <c r="D53" s="467"/>
      <c r="E53" s="444" t="s">
        <v>423</v>
      </c>
      <c r="F53" s="444"/>
      <c r="G53" s="149">
        <f>'P3 Data Subject Rights'!H12</f>
        <v>0</v>
      </c>
      <c r="H53" s="147" t="str">
        <f>'P3 Data Subject Rights'!I12</f>
        <v/>
      </c>
      <c r="I53" s="147" t="str">
        <f>'P3 Data Subject Rights'!J12</f>
        <v/>
      </c>
      <c r="J53" s="147" t="str">
        <f>'P3 Data Subject Rights'!K12</f>
        <v/>
      </c>
      <c r="K53" s="147" t="str">
        <f>'P3 Data Subject Rights'!L12</f>
        <v/>
      </c>
      <c r="L53" s="147" t="str">
        <f>'P3 Data Subject Rights'!M12</f>
        <v/>
      </c>
      <c r="M53" s="147" t="str">
        <f>'P3 Data Subject Rights'!N12</f>
        <v/>
      </c>
      <c r="N53" s="444" t="s">
        <v>388</v>
      </c>
      <c r="O53" s="443" t="s">
        <v>424</v>
      </c>
      <c r="P53" s="444" t="s">
        <v>390</v>
      </c>
      <c r="Q53" s="444" t="s">
        <v>391</v>
      </c>
      <c r="R53" s="443" t="s">
        <v>425</v>
      </c>
      <c r="S53" s="444"/>
      <c r="T53" s="443">
        <v>7</v>
      </c>
      <c r="U53" s="445" t="s">
        <v>394</v>
      </c>
      <c r="V53" s="446" t="s">
        <v>395</v>
      </c>
    </row>
    <row r="54" spans="1:22" ht="14.1" customHeight="1">
      <c r="A54" s="450"/>
      <c r="B54" s="468" t="s">
        <v>127</v>
      </c>
      <c r="C54" s="468"/>
      <c r="D54" s="468"/>
      <c r="E54" s="444" t="s">
        <v>423</v>
      </c>
      <c r="F54" s="444"/>
      <c r="G54" s="149">
        <f>'P3 Data Subject Rights'!H13</f>
        <v>0</v>
      </c>
      <c r="H54" s="147">
        <f>'P3 Data Subject Rights'!I13</f>
        <v>0</v>
      </c>
      <c r="I54" s="147">
        <f>'P3 Data Subject Rights'!J13</f>
        <v>0</v>
      </c>
      <c r="J54" s="147">
        <f>'P3 Data Subject Rights'!K13</f>
        <v>0</v>
      </c>
      <c r="K54" s="147">
        <f>'P3 Data Subject Rights'!L13</f>
        <v>0</v>
      </c>
      <c r="L54" s="147">
        <f>'P3 Data Subject Rights'!M13</f>
        <v>0</v>
      </c>
      <c r="M54" s="147">
        <f>'P3 Data Subject Rights'!N13</f>
        <v>0</v>
      </c>
      <c r="N54" s="444"/>
      <c r="O54" s="443"/>
      <c r="P54" s="444"/>
      <c r="Q54" s="444"/>
      <c r="R54" s="443"/>
      <c r="S54" s="444"/>
      <c r="T54" s="443"/>
      <c r="U54" s="443"/>
      <c r="V54" s="447"/>
    </row>
    <row r="55" spans="1:22" ht="14.1" customHeight="1">
      <c r="A55" s="450"/>
      <c r="B55" s="468" t="s">
        <v>179</v>
      </c>
      <c r="C55" s="468"/>
      <c r="D55" s="468"/>
      <c r="E55" s="444" t="s">
        <v>423</v>
      </c>
      <c r="F55" s="444"/>
      <c r="G55" s="149">
        <f>'P3 Data Subject Rights'!H14</f>
        <v>0</v>
      </c>
      <c r="H55" s="147">
        <f>'P3 Data Subject Rights'!I14</f>
        <v>0</v>
      </c>
      <c r="I55" s="147">
        <f>'P3 Data Subject Rights'!J14</f>
        <v>0</v>
      </c>
      <c r="J55" s="147">
        <f>'P3 Data Subject Rights'!K14</f>
        <v>0</v>
      </c>
      <c r="K55" s="147">
        <f>'P3 Data Subject Rights'!L14</f>
        <v>0</v>
      </c>
      <c r="L55" s="147">
        <f>'P3 Data Subject Rights'!M14</f>
        <v>0</v>
      </c>
      <c r="M55" s="147">
        <f>'P3 Data Subject Rights'!N14</f>
        <v>0</v>
      </c>
      <c r="N55" s="444"/>
      <c r="O55" s="443"/>
      <c r="P55" s="444"/>
      <c r="Q55" s="444"/>
      <c r="R55" s="443"/>
      <c r="S55" s="444"/>
      <c r="T55" s="443"/>
      <c r="U55" s="443"/>
      <c r="V55" s="447"/>
    </row>
    <row r="56" spans="1:22" ht="14.1" customHeight="1">
      <c r="A56" s="450"/>
      <c r="B56" s="468" t="s">
        <v>180</v>
      </c>
      <c r="C56" s="468"/>
      <c r="D56" s="468"/>
      <c r="E56" s="444" t="s">
        <v>423</v>
      </c>
      <c r="F56" s="444"/>
      <c r="G56" s="149">
        <f>'P3 Data Subject Rights'!H15</f>
        <v>0</v>
      </c>
      <c r="H56" s="147">
        <f>'P3 Data Subject Rights'!I15</f>
        <v>0</v>
      </c>
      <c r="I56" s="147">
        <f>'P3 Data Subject Rights'!J15</f>
        <v>0</v>
      </c>
      <c r="J56" s="147">
        <f>'P3 Data Subject Rights'!K15</f>
        <v>0</v>
      </c>
      <c r="K56" s="147">
        <f>'P3 Data Subject Rights'!L15</f>
        <v>0</v>
      </c>
      <c r="L56" s="147">
        <f>'P3 Data Subject Rights'!M15</f>
        <v>0</v>
      </c>
      <c r="M56" s="147">
        <f>'P3 Data Subject Rights'!N15</f>
        <v>0</v>
      </c>
      <c r="N56" s="444"/>
      <c r="O56" s="443"/>
      <c r="P56" s="444"/>
      <c r="Q56" s="444"/>
      <c r="R56" s="443"/>
      <c r="S56" s="444"/>
      <c r="T56" s="443"/>
      <c r="U56" s="443"/>
      <c r="V56" s="447"/>
    </row>
    <row r="57" spans="1:22" ht="14.1" customHeight="1">
      <c r="A57" s="450"/>
      <c r="B57" s="468" t="s">
        <v>181</v>
      </c>
      <c r="C57" s="468"/>
      <c r="D57" s="468"/>
      <c r="E57" s="444" t="s">
        <v>423</v>
      </c>
      <c r="F57" s="444"/>
      <c r="G57" s="149">
        <f>'P3 Data Subject Rights'!H16</f>
        <v>0</v>
      </c>
      <c r="H57" s="147">
        <f>'P3 Data Subject Rights'!I16</f>
        <v>0</v>
      </c>
      <c r="I57" s="147">
        <f>'P3 Data Subject Rights'!J16</f>
        <v>0</v>
      </c>
      <c r="J57" s="147">
        <f>'P3 Data Subject Rights'!K16</f>
        <v>0</v>
      </c>
      <c r="K57" s="147">
        <f>'P3 Data Subject Rights'!L16</f>
        <v>0</v>
      </c>
      <c r="L57" s="147">
        <f>'P3 Data Subject Rights'!M16</f>
        <v>0</v>
      </c>
      <c r="M57" s="147">
        <f>'P3 Data Subject Rights'!N16</f>
        <v>0</v>
      </c>
      <c r="N57" s="444"/>
      <c r="O57" s="443"/>
      <c r="P57" s="444"/>
      <c r="Q57" s="444"/>
      <c r="R57" s="443"/>
      <c r="S57" s="444"/>
      <c r="T57" s="443"/>
      <c r="U57" s="443"/>
      <c r="V57" s="447"/>
    </row>
    <row r="58" spans="1:22" ht="99.75">
      <c r="A58" s="144">
        <v>3</v>
      </c>
      <c r="B58" s="461" t="s">
        <v>182</v>
      </c>
      <c r="C58" s="454"/>
      <c r="D58" s="454"/>
      <c r="E58" s="444">
        <f>'P3 Data Subject Rights'!F17</f>
        <v>0</v>
      </c>
      <c r="F58" s="444"/>
      <c r="G58" s="149">
        <f>'P3 Data Subject Rights'!H17</f>
        <v>0</v>
      </c>
      <c r="H58" s="147" t="str">
        <f>'P3 Data Subject Rights'!I17</f>
        <v/>
      </c>
      <c r="I58" s="147" t="str">
        <f>'P3 Data Subject Rights'!J17</f>
        <v/>
      </c>
      <c r="J58" s="147" t="str">
        <f>'P3 Data Subject Rights'!K17</f>
        <v/>
      </c>
      <c r="K58" s="147" t="str">
        <f>'P3 Data Subject Rights'!L17</f>
        <v/>
      </c>
      <c r="L58" s="147" t="str">
        <f>'P3 Data Subject Rights'!M17</f>
        <v/>
      </c>
      <c r="M58" s="147" t="str">
        <f>'P3 Data Subject Rights'!N17</f>
        <v/>
      </c>
      <c r="N58" s="148" t="s">
        <v>388</v>
      </c>
      <c r="O58" s="147" t="s">
        <v>426</v>
      </c>
      <c r="P58" s="149" t="s">
        <v>390</v>
      </c>
      <c r="Q58" s="148" t="s">
        <v>391</v>
      </c>
      <c r="R58" s="147" t="s">
        <v>427</v>
      </c>
      <c r="S58" s="149"/>
      <c r="T58" s="149">
        <v>7</v>
      </c>
      <c r="U58" s="159" t="s">
        <v>394</v>
      </c>
      <c r="V58" s="149" t="s">
        <v>395</v>
      </c>
    </row>
    <row r="59" spans="1:22" ht="99.75">
      <c r="A59" s="144">
        <v>4</v>
      </c>
      <c r="B59" s="454" t="s">
        <v>183</v>
      </c>
      <c r="C59" s="454"/>
      <c r="D59" s="454"/>
      <c r="E59" s="444">
        <f>'P3 Data Subject Rights'!F18</f>
        <v>0</v>
      </c>
      <c r="F59" s="444"/>
      <c r="G59" s="149">
        <f>'P3 Data Subject Rights'!H18</f>
        <v>0</v>
      </c>
      <c r="H59" s="147" t="str">
        <f>'P3 Data Subject Rights'!I18</f>
        <v/>
      </c>
      <c r="I59" s="147" t="str">
        <f>'P3 Data Subject Rights'!J18</f>
        <v/>
      </c>
      <c r="J59" s="147" t="str">
        <f>'P3 Data Subject Rights'!K18</f>
        <v/>
      </c>
      <c r="K59" s="147" t="str">
        <f>'P3 Data Subject Rights'!L18</f>
        <v/>
      </c>
      <c r="L59" s="147" t="str">
        <f>'P3 Data Subject Rights'!M18</f>
        <v/>
      </c>
      <c r="M59" s="147" t="str">
        <f>'P3 Data Subject Rights'!N18</f>
        <v/>
      </c>
      <c r="N59" s="148" t="s">
        <v>388</v>
      </c>
      <c r="O59" s="147" t="s">
        <v>428</v>
      </c>
      <c r="P59" s="149" t="s">
        <v>390</v>
      </c>
      <c r="Q59" s="148" t="s">
        <v>391</v>
      </c>
      <c r="R59" s="148" t="s">
        <v>429</v>
      </c>
      <c r="S59" s="149"/>
      <c r="T59" s="149">
        <v>7</v>
      </c>
      <c r="U59" s="159" t="s">
        <v>394</v>
      </c>
      <c r="V59" s="149" t="s">
        <v>395</v>
      </c>
    </row>
    <row r="60" spans="1:22" ht="114">
      <c r="A60" s="144">
        <v>5</v>
      </c>
      <c r="B60" s="454" t="s">
        <v>184</v>
      </c>
      <c r="C60" s="454"/>
      <c r="D60" s="454"/>
      <c r="E60" s="444">
        <f>'P3 Data Subject Rights'!F19</f>
        <v>0</v>
      </c>
      <c r="F60" s="444"/>
      <c r="G60" s="149">
        <f>'P3 Data Subject Rights'!H19</f>
        <v>0</v>
      </c>
      <c r="H60" s="147" t="str">
        <f>'P3 Data Subject Rights'!I19</f>
        <v/>
      </c>
      <c r="I60" s="147" t="str">
        <f>'P3 Data Subject Rights'!J19</f>
        <v/>
      </c>
      <c r="J60" s="147" t="str">
        <f>'P3 Data Subject Rights'!K19</f>
        <v/>
      </c>
      <c r="K60" s="147" t="str">
        <f>'P3 Data Subject Rights'!L19</f>
        <v/>
      </c>
      <c r="L60" s="147" t="str">
        <f>'P3 Data Subject Rights'!M19</f>
        <v/>
      </c>
      <c r="M60" s="147" t="str">
        <f>'P3 Data Subject Rights'!N19</f>
        <v/>
      </c>
      <c r="N60" s="148" t="s">
        <v>388</v>
      </c>
      <c r="O60" s="147" t="s">
        <v>430</v>
      </c>
      <c r="P60" s="150" t="s">
        <v>390</v>
      </c>
      <c r="Q60" s="148" t="s">
        <v>391</v>
      </c>
      <c r="R60" s="147" t="s">
        <v>431</v>
      </c>
      <c r="S60" s="149"/>
      <c r="T60" s="149">
        <v>7</v>
      </c>
      <c r="U60" s="159" t="s">
        <v>394</v>
      </c>
      <c r="V60" s="149" t="s">
        <v>395</v>
      </c>
    </row>
    <row r="61" spans="1:22" ht="99.75">
      <c r="A61" s="144">
        <v>6</v>
      </c>
      <c r="B61" s="454" t="s">
        <v>185</v>
      </c>
      <c r="C61" s="454"/>
      <c r="D61" s="454"/>
      <c r="E61" s="444">
        <f>'P3 Data Subject Rights'!F20</f>
        <v>0</v>
      </c>
      <c r="F61" s="444"/>
      <c r="G61" s="149">
        <f>'P3 Data Subject Rights'!H20</f>
        <v>0</v>
      </c>
      <c r="H61" s="147" t="str">
        <f>'P3 Data Subject Rights'!I20</f>
        <v/>
      </c>
      <c r="I61" s="147" t="str">
        <f>'P3 Data Subject Rights'!J20</f>
        <v/>
      </c>
      <c r="J61" s="147" t="str">
        <f>'P3 Data Subject Rights'!K20</f>
        <v/>
      </c>
      <c r="K61" s="147" t="str">
        <f>'P3 Data Subject Rights'!L20</f>
        <v/>
      </c>
      <c r="L61" s="147" t="str">
        <f>'P3 Data Subject Rights'!M20</f>
        <v/>
      </c>
      <c r="M61" s="147" t="str">
        <f>'P3 Data Subject Rights'!N20</f>
        <v/>
      </c>
      <c r="N61" s="148" t="s">
        <v>388</v>
      </c>
      <c r="O61" s="147" t="s">
        <v>432</v>
      </c>
      <c r="P61" s="149" t="s">
        <v>390</v>
      </c>
      <c r="Q61" s="148" t="s">
        <v>391</v>
      </c>
      <c r="R61" s="147" t="s">
        <v>433</v>
      </c>
      <c r="S61" s="149"/>
      <c r="T61" s="149">
        <v>1</v>
      </c>
      <c r="U61" s="159" t="s">
        <v>394</v>
      </c>
      <c r="V61" s="149" t="s">
        <v>395</v>
      </c>
    </row>
    <row r="62" spans="1:22" ht="99.75">
      <c r="A62" s="144">
        <v>7</v>
      </c>
      <c r="B62" s="454" t="s">
        <v>186</v>
      </c>
      <c r="C62" s="454"/>
      <c r="D62" s="454"/>
      <c r="E62" s="444">
        <f>'P3 Data Subject Rights'!F21</f>
        <v>0</v>
      </c>
      <c r="F62" s="444"/>
      <c r="G62" s="149">
        <f>'P3 Data Subject Rights'!H21</f>
        <v>0</v>
      </c>
      <c r="H62" s="147" t="str">
        <f>'P3 Data Subject Rights'!I21</f>
        <v/>
      </c>
      <c r="I62" s="147" t="str">
        <f>'P3 Data Subject Rights'!J21</f>
        <v/>
      </c>
      <c r="J62" s="147" t="str">
        <f>'P3 Data Subject Rights'!K21</f>
        <v/>
      </c>
      <c r="K62" s="147" t="str">
        <f>'P3 Data Subject Rights'!L21</f>
        <v/>
      </c>
      <c r="L62" s="147" t="str">
        <f>'P3 Data Subject Rights'!M21</f>
        <v/>
      </c>
      <c r="M62" s="147" t="str">
        <f>'P3 Data Subject Rights'!N21</f>
        <v/>
      </c>
      <c r="N62" s="148" t="s">
        <v>388</v>
      </c>
      <c r="O62" s="147" t="s">
        <v>434</v>
      </c>
      <c r="P62" s="149" t="s">
        <v>390</v>
      </c>
      <c r="Q62" s="148" t="s">
        <v>391</v>
      </c>
      <c r="R62" s="147" t="s">
        <v>435</v>
      </c>
      <c r="S62" s="149"/>
      <c r="T62" s="149">
        <v>7</v>
      </c>
      <c r="U62" s="159" t="s">
        <v>394</v>
      </c>
      <c r="V62" s="149" t="s">
        <v>395</v>
      </c>
    </row>
    <row r="63" spans="1:22" ht="18">
      <c r="A63" s="455" t="s">
        <v>187</v>
      </c>
      <c r="B63" s="455"/>
      <c r="C63" s="455"/>
      <c r="D63" s="455"/>
      <c r="E63" s="455"/>
      <c r="F63" s="455"/>
      <c r="G63" s="455"/>
      <c r="H63" s="455"/>
      <c r="I63" s="455"/>
      <c r="J63" s="455"/>
      <c r="K63" s="455"/>
      <c r="L63" s="455"/>
      <c r="M63" s="455"/>
      <c r="N63" s="149"/>
      <c r="O63" s="148"/>
      <c r="P63" s="149"/>
      <c r="Q63" s="149"/>
      <c r="R63" s="148"/>
      <c r="S63" s="149"/>
      <c r="T63" s="149"/>
      <c r="U63" s="147"/>
      <c r="V63" s="149"/>
    </row>
    <row r="64" spans="1:22" ht="15" customHeight="1">
      <c r="A64" s="450">
        <v>1</v>
      </c>
      <c r="B64" s="451" t="s">
        <v>188</v>
      </c>
      <c r="C64" s="451"/>
      <c r="D64" s="451"/>
      <c r="E64" s="444">
        <f>'P3 Data Subject Rights'!F23</f>
        <v>0</v>
      </c>
      <c r="F64" s="444"/>
      <c r="G64" s="146">
        <f>'P3 Data Subject Rights'!H23</f>
        <v>0</v>
      </c>
      <c r="H64" s="452" t="str">
        <f>'P3 Data Subject Rights'!I23</f>
        <v/>
      </c>
      <c r="I64" s="452" t="str">
        <f>'P3 Data Subject Rights'!J23</f>
        <v/>
      </c>
      <c r="J64" s="452" t="str">
        <f>'P3 Data Subject Rights'!K23</f>
        <v/>
      </c>
      <c r="K64" s="452" t="str">
        <f>'P3 Data Subject Rights'!L23</f>
        <v/>
      </c>
      <c r="L64" s="452" t="str">
        <f>'P3 Data Subject Rights'!M23</f>
        <v/>
      </c>
      <c r="M64" s="452" t="str">
        <f>'P3 Data Subject Rights'!N23</f>
        <v/>
      </c>
      <c r="N64" s="444" t="s">
        <v>388</v>
      </c>
      <c r="O64" s="443" t="s">
        <v>436</v>
      </c>
      <c r="P64" s="444" t="s">
        <v>390</v>
      </c>
      <c r="Q64" s="444" t="s">
        <v>391</v>
      </c>
      <c r="R64" s="443" t="s">
        <v>437</v>
      </c>
      <c r="S64" s="444"/>
      <c r="T64" s="444">
        <v>7</v>
      </c>
      <c r="U64" s="445" t="s">
        <v>394</v>
      </c>
      <c r="V64" s="447" t="s">
        <v>395</v>
      </c>
    </row>
    <row r="65" spans="1:22">
      <c r="A65" s="450"/>
      <c r="B65" s="449" t="s">
        <v>189</v>
      </c>
      <c r="C65" s="449"/>
      <c r="D65" s="449"/>
      <c r="E65" s="444">
        <f>'P3 Data Subject Rights'!F24</f>
        <v>0</v>
      </c>
      <c r="F65" s="444"/>
      <c r="G65" s="146">
        <f>'P3 Data Subject Rights'!H24</f>
        <v>0</v>
      </c>
      <c r="H65" s="452"/>
      <c r="I65" s="452"/>
      <c r="J65" s="452"/>
      <c r="K65" s="452"/>
      <c r="L65" s="452"/>
      <c r="M65" s="452"/>
      <c r="N65" s="444"/>
      <c r="O65" s="444"/>
      <c r="P65" s="444"/>
      <c r="Q65" s="444"/>
      <c r="R65" s="443"/>
      <c r="S65" s="444"/>
      <c r="T65" s="444"/>
      <c r="U65" s="443"/>
      <c r="V65" s="447"/>
    </row>
    <row r="66" spans="1:22">
      <c r="A66" s="450"/>
      <c r="B66" s="449" t="s">
        <v>190</v>
      </c>
      <c r="C66" s="449"/>
      <c r="D66" s="449"/>
      <c r="E66" s="444">
        <f>'P3 Data Subject Rights'!F25</f>
        <v>0</v>
      </c>
      <c r="F66" s="444"/>
      <c r="G66" s="146">
        <f>'P3 Data Subject Rights'!H25</f>
        <v>0</v>
      </c>
      <c r="H66" s="452"/>
      <c r="I66" s="452"/>
      <c r="J66" s="452"/>
      <c r="K66" s="452"/>
      <c r="L66" s="452"/>
      <c r="M66" s="452"/>
      <c r="N66" s="444"/>
      <c r="O66" s="444"/>
      <c r="P66" s="444"/>
      <c r="Q66" s="444"/>
      <c r="R66" s="443"/>
      <c r="S66" s="444"/>
      <c r="T66" s="444"/>
      <c r="U66" s="443"/>
      <c r="V66" s="447"/>
    </row>
    <row r="67" spans="1:22">
      <c r="A67" s="450"/>
      <c r="B67" s="449" t="s">
        <v>191</v>
      </c>
      <c r="C67" s="449"/>
      <c r="D67" s="449"/>
      <c r="E67" s="444">
        <f>'P3 Data Subject Rights'!F26</f>
        <v>0</v>
      </c>
      <c r="F67" s="444"/>
      <c r="G67" s="146">
        <f>'P3 Data Subject Rights'!H26</f>
        <v>0</v>
      </c>
      <c r="H67" s="452"/>
      <c r="I67" s="452"/>
      <c r="J67" s="452"/>
      <c r="K67" s="452"/>
      <c r="L67" s="452"/>
      <c r="M67" s="452"/>
      <c r="N67" s="444"/>
      <c r="O67" s="444"/>
      <c r="P67" s="444"/>
      <c r="Q67" s="444"/>
      <c r="R67" s="443"/>
      <c r="S67" s="444"/>
      <c r="T67" s="444"/>
      <c r="U67" s="443"/>
      <c r="V67" s="447"/>
    </row>
    <row r="68" spans="1:22">
      <c r="A68" s="450"/>
      <c r="B68" s="449" t="s">
        <v>192</v>
      </c>
      <c r="C68" s="449"/>
      <c r="D68" s="449"/>
      <c r="E68" s="444">
        <f>'P3 Data Subject Rights'!F27</f>
        <v>0</v>
      </c>
      <c r="F68" s="444"/>
      <c r="G68" s="146">
        <f>'P3 Data Subject Rights'!H27</f>
        <v>0</v>
      </c>
      <c r="H68" s="452"/>
      <c r="I68" s="452"/>
      <c r="J68" s="452"/>
      <c r="K68" s="452"/>
      <c r="L68" s="452"/>
      <c r="M68" s="452"/>
      <c r="N68" s="444"/>
      <c r="O68" s="444"/>
      <c r="P68" s="444"/>
      <c r="Q68" s="444"/>
      <c r="R68" s="443"/>
      <c r="S68" s="444"/>
      <c r="T68" s="444"/>
      <c r="U68" s="443"/>
      <c r="V68" s="447"/>
    </row>
    <row r="69" spans="1:22">
      <c r="A69" s="450"/>
      <c r="B69" s="449" t="s">
        <v>193</v>
      </c>
      <c r="C69" s="449"/>
      <c r="D69" s="449"/>
      <c r="E69" s="444">
        <f>'P3 Data Subject Rights'!F28</f>
        <v>0</v>
      </c>
      <c r="F69" s="444"/>
      <c r="G69" s="146">
        <f>'P3 Data Subject Rights'!H28</f>
        <v>0</v>
      </c>
      <c r="H69" s="452"/>
      <c r="I69" s="452"/>
      <c r="J69" s="452"/>
      <c r="K69" s="452"/>
      <c r="L69" s="452"/>
      <c r="M69" s="452"/>
      <c r="N69" s="444"/>
      <c r="O69" s="444"/>
      <c r="P69" s="444"/>
      <c r="Q69" s="444"/>
      <c r="R69" s="443"/>
      <c r="S69" s="444"/>
      <c r="T69" s="444"/>
      <c r="U69" s="443"/>
      <c r="V69" s="447"/>
    </row>
    <row r="70" spans="1:22">
      <c r="A70" s="450"/>
      <c r="B70" s="449" t="s">
        <v>194</v>
      </c>
      <c r="C70" s="449"/>
      <c r="D70" s="449"/>
      <c r="E70" s="444">
        <f>'P3 Data Subject Rights'!F29</f>
        <v>0</v>
      </c>
      <c r="F70" s="444"/>
      <c r="G70" s="146">
        <f>'P3 Data Subject Rights'!H29</f>
        <v>0</v>
      </c>
      <c r="H70" s="452"/>
      <c r="I70" s="452"/>
      <c r="J70" s="452"/>
      <c r="K70" s="452"/>
      <c r="L70" s="452"/>
      <c r="M70" s="452"/>
      <c r="N70" s="444"/>
      <c r="O70" s="444"/>
      <c r="P70" s="444"/>
      <c r="Q70" s="444"/>
      <c r="R70" s="443"/>
      <c r="S70" s="444"/>
      <c r="T70" s="444"/>
      <c r="U70" s="443"/>
      <c r="V70" s="447"/>
    </row>
    <row r="71" spans="1:22">
      <c r="A71" s="450"/>
      <c r="B71" s="449" t="s">
        <v>195</v>
      </c>
      <c r="C71" s="449"/>
      <c r="D71" s="449"/>
      <c r="E71" s="444" t="b">
        <f>'P3 Data Subject Rights'!F30</f>
        <v>0</v>
      </c>
      <c r="F71" s="444"/>
      <c r="G71" s="146">
        <f>'P3 Data Subject Rights'!H30</f>
        <v>0</v>
      </c>
      <c r="H71" s="452"/>
      <c r="I71" s="452"/>
      <c r="J71" s="452"/>
      <c r="K71" s="452"/>
      <c r="L71" s="452"/>
      <c r="M71" s="452"/>
      <c r="N71" s="444"/>
      <c r="O71" s="444"/>
      <c r="P71" s="444"/>
      <c r="Q71" s="444"/>
      <c r="R71" s="443"/>
      <c r="S71" s="444"/>
      <c r="T71" s="444"/>
      <c r="U71" s="443"/>
      <c r="V71" s="447"/>
    </row>
    <row r="72" spans="1:22">
      <c r="A72" s="450"/>
      <c r="B72" s="449" t="s">
        <v>196</v>
      </c>
      <c r="C72" s="449"/>
      <c r="D72" s="449"/>
      <c r="E72" s="444">
        <f>'P3 Data Subject Rights'!F31</f>
        <v>0</v>
      </c>
      <c r="F72" s="444"/>
      <c r="G72" s="146">
        <f>'P3 Data Subject Rights'!H31</f>
        <v>0</v>
      </c>
      <c r="H72" s="452"/>
      <c r="I72" s="452"/>
      <c r="J72" s="452"/>
      <c r="K72" s="452"/>
      <c r="L72" s="452"/>
      <c r="M72" s="452"/>
      <c r="N72" s="444"/>
      <c r="O72" s="444"/>
      <c r="P72" s="444"/>
      <c r="Q72" s="444"/>
      <c r="R72" s="443"/>
      <c r="S72" s="444"/>
      <c r="T72" s="444"/>
      <c r="U72" s="443"/>
      <c r="V72" s="447"/>
    </row>
    <row r="73" spans="1:22">
      <c r="A73" s="450"/>
      <c r="B73" s="449" t="s">
        <v>197</v>
      </c>
      <c r="C73" s="449"/>
      <c r="D73" s="449"/>
      <c r="E73" s="444">
        <f>'P3 Data Subject Rights'!F32</f>
        <v>0</v>
      </c>
      <c r="F73" s="444"/>
      <c r="G73" s="146">
        <f>'P3 Data Subject Rights'!H32</f>
        <v>0</v>
      </c>
      <c r="H73" s="452"/>
      <c r="I73" s="452"/>
      <c r="J73" s="452"/>
      <c r="K73" s="452"/>
      <c r="L73" s="452"/>
      <c r="M73" s="452"/>
      <c r="N73" s="444"/>
      <c r="O73" s="444"/>
      <c r="P73" s="444"/>
      <c r="Q73" s="444"/>
      <c r="R73" s="443"/>
      <c r="S73" s="444"/>
      <c r="T73" s="444"/>
      <c r="U73" s="443"/>
      <c r="V73" s="447"/>
    </row>
    <row r="74" spans="1:22" ht="66.95" customHeight="1">
      <c r="A74" s="463" t="s">
        <v>198</v>
      </c>
      <c r="B74" s="464"/>
      <c r="C74" s="464"/>
      <c r="D74" s="464"/>
      <c r="E74" s="465">
        <f>'P3 Data Subject Rights'!F33</f>
        <v>0</v>
      </c>
      <c r="F74" s="465"/>
      <c r="G74" s="465"/>
      <c r="H74" s="465"/>
      <c r="I74" s="465"/>
      <c r="J74" s="465"/>
      <c r="K74" s="465"/>
      <c r="L74" s="465"/>
      <c r="M74" s="465"/>
      <c r="N74" s="444"/>
      <c r="O74" s="444"/>
      <c r="P74" s="444"/>
      <c r="Q74" s="444"/>
      <c r="R74" s="444"/>
      <c r="S74" s="444"/>
      <c r="T74" s="444"/>
      <c r="U74" s="444"/>
      <c r="V74" s="444"/>
    </row>
    <row r="75" spans="1:22" ht="114">
      <c r="A75" s="144">
        <v>1</v>
      </c>
      <c r="B75" s="454" t="s">
        <v>199</v>
      </c>
      <c r="C75" s="454"/>
      <c r="D75" s="454"/>
      <c r="E75" s="444">
        <f>'P3 Data Subject Rights'!F34</f>
        <v>0</v>
      </c>
      <c r="F75" s="444"/>
      <c r="G75" s="149">
        <f>'P3 Data Subject Rights'!H34</f>
        <v>0</v>
      </c>
      <c r="H75" s="147" t="str">
        <f>'P3 Data Subject Rights'!I34</f>
        <v/>
      </c>
      <c r="I75" s="147" t="str">
        <f>'P3 Data Subject Rights'!J34</f>
        <v/>
      </c>
      <c r="J75" s="147" t="str">
        <f>'P3 Data Subject Rights'!K34</f>
        <v/>
      </c>
      <c r="K75" s="147" t="str">
        <f>'P3 Data Subject Rights'!L34</f>
        <v/>
      </c>
      <c r="L75" s="147" t="str">
        <f>'P3 Data Subject Rights'!M34</f>
        <v/>
      </c>
      <c r="M75" s="147" t="str">
        <f>'P3 Data Subject Rights'!N34</f>
        <v/>
      </c>
      <c r="N75" s="148" t="s">
        <v>388</v>
      </c>
      <c r="O75" s="147" t="s">
        <v>438</v>
      </c>
      <c r="P75" s="149" t="s">
        <v>390</v>
      </c>
      <c r="Q75" s="148" t="s">
        <v>391</v>
      </c>
      <c r="R75" s="148" t="s">
        <v>439</v>
      </c>
      <c r="S75" s="149"/>
      <c r="T75" s="149">
        <v>7</v>
      </c>
      <c r="U75" s="159" t="s">
        <v>394</v>
      </c>
      <c r="V75" s="149" t="s">
        <v>395</v>
      </c>
    </row>
    <row r="76" spans="1:22">
      <c r="A76" s="450">
        <v>2</v>
      </c>
      <c r="B76" s="451" t="s">
        <v>200</v>
      </c>
      <c r="C76" s="451"/>
      <c r="D76" s="451"/>
      <c r="E76" s="451"/>
      <c r="F76" s="451"/>
      <c r="G76" s="451"/>
      <c r="H76" s="451"/>
      <c r="I76" s="451"/>
      <c r="J76" s="451"/>
      <c r="K76" s="451"/>
      <c r="L76" s="451"/>
      <c r="M76" s="451"/>
      <c r="N76" s="444"/>
      <c r="O76" s="444"/>
      <c r="P76" s="444"/>
      <c r="Q76" s="444"/>
      <c r="R76" s="444"/>
      <c r="S76" s="444"/>
      <c r="T76" s="444"/>
      <c r="U76" s="444"/>
      <c r="V76" s="444"/>
    </row>
    <row r="77" spans="1:22" ht="85.5">
      <c r="A77" s="450"/>
      <c r="B77" s="466" t="s">
        <v>201</v>
      </c>
      <c r="C77" s="466"/>
      <c r="D77" s="466"/>
      <c r="E77" s="444">
        <f>'P3 Data Subject Rights'!F36</f>
        <v>0</v>
      </c>
      <c r="F77" s="444"/>
      <c r="G77" s="149">
        <f>'P3 Data Subject Rights'!H36</f>
        <v>0</v>
      </c>
      <c r="H77" s="150" t="str">
        <f>'P3 Data Subject Rights'!I36</f>
        <v/>
      </c>
      <c r="I77" s="443" t="str">
        <f>'P3 Data Subject Rights'!J36</f>
        <v/>
      </c>
      <c r="J77" s="443" t="str">
        <f>'P3 Data Subject Rights'!K36</f>
        <v/>
      </c>
      <c r="K77" s="148" t="str">
        <f>'P3 Data Subject Rights'!L36</f>
        <v/>
      </c>
      <c r="L77" s="148" t="str">
        <f>'P3 Data Subject Rights'!M36</f>
        <v/>
      </c>
      <c r="M77" s="148" t="str">
        <f>'P3 Data Subject Rights'!N36</f>
        <v/>
      </c>
      <c r="N77" s="148" t="s">
        <v>388</v>
      </c>
      <c r="O77" s="147" t="s">
        <v>440</v>
      </c>
      <c r="P77" s="149" t="s">
        <v>390</v>
      </c>
      <c r="Q77" s="148" t="s">
        <v>391</v>
      </c>
      <c r="R77" s="148" t="s">
        <v>439</v>
      </c>
      <c r="S77" s="149"/>
      <c r="T77" s="149">
        <v>30</v>
      </c>
      <c r="U77" s="159" t="s">
        <v>394</v>
      </c>
      <c r="V77" s="149" t="s">
        <v>395</v>
      </c>
    </row>
    <row r="78" spans="1:22" ht="85.5">
      <c r="A78" s="450"/>
      <c r="B78" s="466" t="s">
        <v>203</v>
      </c>
      <c r="C78" s="466"/>
      <c r="D78" s="466"/>
      <c r="E78" s="444">
        <f>'P3 Data Subject Rights'!F37</f>
        <v>0</v>
      </c>
      <c r="F78" s="444"/>
      <c r="G78" s="149">
        <f>'P3 Data Subject Rights'!H37</f>
        <v>0</v>
      </c>
      <c r="H78" s="150" t="str">
        <f>'P3 Data Subject Rights'!I37</f>
        <v/>
      </c>
      <c r="I78" s="443"/>
      <c r="J78" s="443"/>
      <c r="K78" s="148" t="str">
        <f>'P3 Data Subject Rights'!L37</f>
        <v/>
      </c>
      <c r="L78" s="148" t="str">
        <f>'P3 Data Subject Rights'!M37</f>
        <v/>
      </c>
      <c r="M78" s="148" t="str">
        <f>'P3 Data Subject Rights'!N37</f>
        <v/>
      </c>
      <c r="N78" s="148" t="s">
        <v>388</v>
      </c>
      <c r="O78" s="147" t="s">
        <v>441</v>
      </c>
      <c r="P78" s="149" t="s">
        <v>390</v>
      </c>
      <c r="Q78" s="148" t="s">
        <v>391</v>
      </c>
      <c r="R78" s="148" t="s">
        <v>439</v>
      </c>
      <c r="S78" s="149"/>
      <c r="T78" s="149">
        <v>30</v>
      </c>
      <c r="U78" s="159" t="s">
        <v>394</v>
      </c>
      <c r="V78" s="149" t="s">
        <v>395</v>
      </c>
    </row>
    <row r="79" spans="1:22" ht="18">
      <c r="A79" s="455" t="s">
        <v>204</v>
      </c>
      <c r="B79" s="455"/>
      <c r="C79" s="455"/>
      <c r="D79" s="455"/>
      <c r="E79" s="455"/>
      <c r="F79" s="455"/>
      <c r="G79" s="455"/>
      <c r="H79" s="455"/>
      <c r="I79" s="455"/>
      <c r="J79" s="455"/>
      <c r="K79" s="455"/>
      <c r="L79" s="455"/>
      <c r="M79" s="455"/>
      <c r="N79" s="149"/>
      <c r="O79" s="148"/>
      <c r="P79" s="149"/>
      <c r="Q79" s="149"/>
      <c r="R79" s="148"/>
      <c r="S79" s="149"/>
      <c r="T79" s="149"/>
      <c r="U79" s="147"/>
      <c r="V79" s="149"/>
    </row>
    <row r="80" spans="1:22" ht="305.10000000000002" customHeight="1">
      <c r="A80" s="144">
        <v>1</v>
      </c>
      <c r="B80" s="461" t="s">
        <v>205</v>
      </c>
      <c r="C80" s="454"/>
      <c r="D80" s="454"/>
      <c r="E80" s="444">
        <f>'P3 Data Subject Rights'!F39</f>
        <v>0</v>
      </c>
      <c r="F80" s="444"/>
      <c r="G80" s="149">
        <f>'P3 Data Subject Rights'!H39</f>
        <v>0</v>
      </c>
      <c r="H80" s="150" t="str">
        <f>'P3 Data Subject Rights'!I39</f>
        <v/>
      </c>
      <c r="I80" s="150" t="str">
        <f>'P3 Data Subject Rights'!J39</f>
        <v/>
      </c>
      <c r="J80" s="150" t="str">
        <f>'P3 Data Subject Rights'!K39</f>
        <v/>
      </c>
      <c r="K80" s="149" t="str">
        <f>'P3 Data Subject Rights'!L39</f>
        <v/>
      </c>
      <c r="L80" s="149" t="str">
        <f>'P3 Data Subject Rights'!M39</f>
        <v/>
      </c>
      <c r="M80" s="149" t="str">
        <f>'P3 Data Subject Rights'!N39</f>
        <v/>
      </c>
      <c r="N80" s="148" t="s">
        <v>388</v>
      </c>
      <c r="O80" s="147" t="s">
        <v>442</v>
      </c>
      <c r="P80" s="149" t="s">
        <v>390</v>
      </c>
      <c r="Q80" s="148" t="s">
        <v>391</v>
      </c>
      <c r="R80" s="148" t="s">
        <v>443</v>
      </c>
      <c r="S80" s="149"/>
      <c r="T80" s="149">
        <v>7</v>
      </c>
      <c r="U80" s="159" t="s">
        <v>394</v>
      </c>
      <c r="V80" s="149" t="s">
        <v>395</v>
      </c>
    </row>
    <row r="81" spans="1:22" ht="18">
      <c r="A81" s="453" t="s">
        <v>206</v>
      </c>
      <c r="B81" s="453"/>
      <c r="C81" s="453"/>
      <c r="D81" s="453"/>
      <c r="E81" s="453"/>
      <c r="F81" s="453"/>
      <c r="G81" s="453"/>
      <c r="H81" s="453"/>
      <c r="I81" s="453"/>
      <c r="J81" s="453"/>
      <c r="K81" s="453"/>
      <c r="L81" s="453"/>
      <c r="M81" s="453"/>
      <c r="N81" s="149"/>
      <c r="O81" s="148"/>
      <c r="P81" s="149"/>
      <c r="Q81" s="149"/>
      <c r="R81" s="148"/>
      <c r="S81" s="149"/>
      <c r="T81" s="149"/>
      <c r="U81" s="147"/>
      <c r="V81" s="149"/>
    </row>
    <row r="82" spans="1:22" ht="114">
      <c r="A82" s="144">
        <v>1</v>
      </c>
      <c r="B82" s="454" t="s">
        <v>207</v>
      </c>
      <c r="C82" s="454"/>
      <c r="D82" s="454"/>
      <c r="E82" s="444">
        <f>'P3 Data Subject Rights'!F41</f>
        <v>0</v>
      </c>
      <c r="F82" s="444"/>
      <c r="G82" s="149">
        <f>'P3 Data Subject Rights'!H41</f>
        <v>0</v>
      </c>
      <c r="H82" s="147" t="str">
        <f>'P3 Data Subject Rights'!I41</f>
        <v/>
      </c>
      <c r="I82" s="147" t="str">
        <f>'P3 Data Subject Rights'!J41</f>
        <v/>
      </c>
      <c r="J82" s="147" t="str">
        <f>'P3 Data Subject Rights'!K41</f>
        <v/>
      </c>
      <c r="K82" s="147" t="str">
        <f>'P3 Data Subject Rights'!L41</f>
        <v/>
      </c>
      <c r="L82" s="147" t="str">
        <f>'P3 Data Subject Rights'!M41</f>
        <v/>
      </c>
      <c r="M82" s="147" t="str">
        <f>'P3 Data Subject Rights'!N41</f>
        <v/>
      </c>
      <c r="N82" s="148" t="s">
        <v>388</v>
      </c>
      <c r="O82" s="147" t="s">
        <v>444</v>
      </c>
      <c r="P82" s="149" t="s">
        <v>390</v>
      </c>
      <c r="Q82" s="148" t="s">
        <v>391</v>
      </c>
      <c r="R82" s="148" t="s">
        <v>445</v>
      </c>
      <c r="S82" s="149"/>
      <c r="T82" s="149">
        <v>7</v>
      </c>
      <c r="U82" s="159" t="s">
        <v>394</v>
      </c>
      <c r="V82" s="149" t="s">
        <v>395</v>
      </c>
    </row>
    <row r="83" spans="1:22" ht="35.1" customHeight="1">
      <c r="A83" s="453" t="s">
        <v>208</v>
      </c>
      <c r="B83" s="453"/>
      <c r="C83" s="453"/>
      <c r="D83" s="453"/>
      <c r="E83" s="453"/>
      <c r="F83" s="453"/>
      <c r="G83" s="453"/>
      <c r="H83" s="453"/>
      <c r="I83" s="453"/>
      <c r="J83" s="453"/>
      <c r="K83" s="453"/>
      <c r="L83" s="453"/>
      <c r="M83" s="453"/>
      <c r="N83" s="149"/>
      <c r="O83" s="148"/>
      <c r="P83" s="149"/>
      <c r="Q83" s="149"/>
      <c r="R83" s="148"/>
      <c r="S83" s="149"/>
      <c r="T83" s="149"/>
      <c r="U83" s="147"/>
      <c r="V83" s="149"/>
    </row>
    <row r="84" spans="1:22" ht="99.75">
      <c r="A84" s="144">
        <v>1</v>
      </c>
      <c r="B84" s="454" t="s">
        <v>209</v>
      </c>
      <c r="C84" s="454"/>
      <c r="D84" s="454"/>
      <c r="E84" s="444">
        <f>'P3 Data Subject Rights'!F43</f>
        <v>0</v>
      </c>
      <c r="F84" s="444"/>
      <c r="G84" s="149">
        <f>'P3 Data Subject Rights'!H43</f>
        <v>0</v>
      </c>
      <c r="H84" s="147" t="str">
        <f>'P3 Data Subject Rights'!I43</f>
        <v/>
      </c>
      <c r="I84" s="147" t="str">
        <f>'P3 Data Subject Rights'!J43</f>
        <v/>
      </c>
      <c r="J84" s="147" t="str">
        <f>'P3 Data Subject Rights'!K43</f>
        <v/>
      </c>
      <c r="K84" s="147" t="str">
        <f>'P3 Data Subject Rights'!L43</f>
        <v/>
      </c>
      <c r="L84" s="147" t="str">
        <f>'P3 Data Subject Rights'!M43</f>
        <v/>
      </c>
      <c r="M84" s="147" t="str">
        <f>'P3 Data Subject Rights'!N43</f>
        <v/>
      </c>
      <c r="N84" s="148" t="s">
        <v>388</v>
      </c>
      <c r="O84" s="147" t="s">
        <v>446</v>
      </c>
      <c r="P84" s="149" t="s">
        <v>390</v>
      </c>
      <c r="Q84" s="148" t="s">
        <v>391</v>
      </c>
      <c r="R84" s="148" t="s">
        <v>447</v>
      </c>
      <c r="S84" s="149"/>
      <c r="T84" s="149">
        <v>7</v>
      </c>
      <c r="U84" s="159" t="s">
        <v>394</v>
      </c>
      <c r="V84" s="149" t="s">
        <v>395</v>
      </c>
    </row>
    <row r="85" spans="1:22" ht="41.1" customHeight="1">
      <c r="A85" s="455" t="s">
        <v>210</v>
      </c>
      <c r="B85" s="455"/>
      <c r="C85" s="455"/>
      <c r="D85" s="455"/>
      <c r="E85" s="455"/>
      <c r="F85" s="455"/>
      <c r="G85" s="455"/>
      <c r="H85" s="455"/>
      <c r="I85" s="455"/>
      <c r="J85" s="455"/>
      <c r="K85" s="455"/>
      <c r="L85" s="455"/>
      <c r="M85" s="455"/>
      <c r="N85" s="143"/>
      <c r="O85" s="143"/>
      <c r="P85" s="143"/>
      <c r="Q85" s="143"/>
      <c r="R85" s="143"/>
      <c r="S85" s="143"/>
      <c r="T85" s="143"/>
      <c r="U85" s="148"/>
      <c r="V85" s="149"/>
    </row>
    <row r="86" spans="1:22" ht="30">
      <c r="A86" s="164" t="s">
        <v>32</v>
      </c>
      <c r="B86" s="469" t="s">
        <v>118</v>
      </c>
      <c r="C86" s="469"/>
      <c r="D86" s="469"/>
      <c r="E86" s="469" t="s">
        <v>176</v>
      </c>
      <c r="F86" s="469"/>
      <c r="G86" s="164" t="s">
        <v>35</v>
      </c>
      <c r="H86" s="155" t="s">
        <v>120</v>
      </c>
      <c r="I86" s="155" t="s">
        <v>121</v>
      </c>
      <c r="J86" s="155" t="s">
        <v>122</v>
      </c>
      <c r="K86" s="155" t="s">
        <v>123</v>
      </c>
      <c r="L86" s="155" t="s">
        <v>124</v>
      </c>
      <c r="M86" s="155" t="s">
        <v>125</v>
      </c>
      <c r="N86" s="155" t="s">
        <v>379</v>
      </c>
      <c r="O86" s="161" t="s">
        <v>380</v>
      </c>
      <c r="P86" s="155" t="s">
        <v>381</v>
      </c>
      <c r="Q86" s="155" t="s">
        <v>382</v>
      </c>
      <c r="R86" s="161" t="s">
        <v>383</v>
      </c>
      <c r="S86" s="161" t="s">
        <v>384</v>
      </c>
      <c r="T86" s="161" t="s">
        <v>385</v>
      </c>
      <c r="U86" s="161" t="s">
        <v>386</v>
      </c>
      <c r="V86" s="162" t="s">
        <v>387</v>
      </c>
    </row>
    <row r="87" spans="1:22" ht="99.75">
      <c r="A87" s="144">
        <v>1</v>
      </c>
      <c r="B87" s="454" t="s">
        <v>448</v>
      </c>
      <c r="C87" s="454"/>
      <c r="D87" s="454"/>
      <c r="E87" s="457" t="s">
        <v>420</v>
      </c>
      <c r="F87" s="457"/>
      <c r="G87" s="149">
        <f>'P3 Data Security'!H4</f>
        <v>0</v>
      </c>
      <c r="H87" s="150" t="str">
        <f>'P3 Data Security'!I4</f>
        <v/>
      </c>
      <c r="I87" s="150" t="str">
        <f>'P3 Data Security'!J4</f>
        <v/>
      </c>
      <c r="J87" s="149" t="str">
        <f>'P3 Data Security'!K4</f>
        <v/>
      </c>
      <c r="K87" s="149" t="str">
        <f>'P3 Data Security'!L4</f>
        <v/>
      </c>
      <c r="L87" s="149" t="str">
        <f>'P3 Data Security'!M4</f>
        <v/>
      </c>
      <c r="M87" s="149" t="str">
        <f>'P3 Data Security'!N4</f>
        <v/>
      </c>
      <c r="N87" s="143" t="s">
        <v>388</v>
      </c>
      <c r="O87" s="147" t="s">
        <v>449</v>
      </c>
      <c r="P87" s="149" t="s">
        <v>390</v>
      </c>
      <c r="Q87" s="147" t="s">
        <v>391</v>
      </c>
      <c r="R87" s="147" t="s">
        <v>450</v>
      </c>
      <c r="S87" s="143"/>
      <c r="T87" s="143">
        <v>7</v>
      </c>
      <c r="U87" s="159" t="s">
        <v>394</v>
      </c>
      <c r="V87" s="149" t="s">
        <v>395</v>
      </c>
    </row>
    <row r="88" spans="1:22" ht="85.5">
      <c r="A88" s="144">
        <v>2</v>
      </c>
      <c r="B88" s="454" t="s">
        <v>212</v>
      </c>
      <c r="C88" s="454"/>
      <c r="D88" s="454"/>
      <c r="E88" s="457">
        <f>'P3 Data Security'!F5</f>
        <v>0</v>
      </c>
      <c r="F88" s="457"/>
      <c r="G88" s="149">
        <f>'P3 Data Security'!H5</f>
        <v>0</v>
      </c>
      <c r="H88" s="150" t="str">
        <f>'P3 Data Security'!I5</f>
        <v/>
      </c>
      <c r="I88" s="150" t="str">
        <f>'P3 Data Security'!J5</f>
        <v/>
      </c>
      <c r="J88" s="149" t="str">
        <f>'P3 Data Security'!K5</f>
        <v/>
      </c>
      <c r="K88" s="149" t="str">
        <f>'P3 Data Security'!L5</f>
        <v/>
      </c>
      <c r="L88" s="149" t="str">
        <f>'P3 Data Security'!M5</f>
        <v/>
      </c>
      <c r="M88" s="149" t="str">
        <f>'P3 Data Security'!N5</f>
        <v/>
      </c>
      <c r="N88" s="165" t="s">
        <v>388</v>
      </c>
      <c r="O88" s="147" t="s">
        <v>451</v>
      </c>
      <c r="P88" s="149" t="s">
        <v>390</v>
      </c>
      <c r="Q88" s="147" t="s">
        <v>391</v>
      </c>
      <c r="R88" s="147" t="s">
        <v>452</v>
      </c>
      <c r="S88" s="143"/>
      <c r="T88" s="143">
        <v>7</v>
      </c>
      <c r="U88" s="159" t="s">
        <v>394</v>
      </c>
      <c r="V88" s="149" t="s">
        <v>395</v>
      </c>
    </row>
    <row r="89" spans="1:22" ht="15" customHeight="1">
      <c r="A89" s="479">
        <v>3</v>
      </c>
      <c r="B89" s="467" t="s">
        <v>213</v>
      </c>
      <c r="C89" s="467"/>
      <c r="D89" s="467"/>
      <c r="E89" s="457">
        <f>'P3 Data Security'!F6</f>
        <v>0</v>
      </c>
      <c r="F89" s="457"/>
      <c r="G89" s="149">
        <f>'P3 Data Security'!H6</f>
        <v>0</v>
      </c>
      <c r="H89" s="443" t="str">
        <f>'P3 Data Security'!I6</f>
        <v/>
      </c>
      <c r="I89" s="443" t="str">
        <f>'P3 Data Security'!J6</f>
        <v/>
      </c>
      <c r="J89" s="443" t="str">
        <f>'P3 Data Security'!K6</f>
        <v/>
      </c>
      <c r="K89" s="443" t="str">
        <f>'P3 Data Security'!L6</f>
        <v/>
      </c>
      <c r="L89" s="443" t="str">
        <f>'P3 Data Security'!M6</f>
        <v/>
      </c>
      <c r="M89" s="443" t="str">
        <f>'P3 Data Security'!N6</f>
        <v/>
      </c>
      <c r="N89" s="444" t="s">
        <v>388</v>
      </c>
      <c r="O89" s="443" t="s">
        <v>453</v>
      </c>
      <c r="P89" s="444" t="s">
        <v>390</v>
      </c>
      <c r="Q89" s="442" t="s">
        <v>391</v>
      </c>
      <c r="R89" s="443" t="s">
        <v>454</v>
      </c>
      <c r="S89" s="442"/>
      <c r="T89" s="442">
        <v>7</v>
      </c>
      <c r="U89" s="445" t="s">
        <v>394</v>
      </c>
      <c r="V89" s="446" t="s">
        <v>395</v>
      </c>
    </row>
    <row r="90" spans="1:22">
      <c r="A90" s="479"/>
      <c r="B90" s="470" t="s">
        <v>215</v>
      </c>
      <c r="C90" s="470"/>
      <c r="D90" s="470"/>
      <c r="E90" s="457" t="b">
        <f>'P3 Data Security'!F7</f>
        <v>0</v>
      </c>
      <c r="F90" s="457"/>
      <c r="G90" s="149">
        <f>'P3 Data Security'!H7</f>
        <v>0</v>
      </c>
      <c r="H90" s="443"/>
      <c r="I90" s="443"/>
      <c r="J90" s="443"/>
      <c r="K90" s="443"/>
      <c r="L90" s="443"/>
      <c r="M90" s="443"/>
      <c r="N90" s="444"/>
      <c r="O90" s="443"/>
      <c r="P90" s="444"/>
      <c r="Q90" s="442"/>
      <c r="R90" s="443"/>
      <c r="S90" s="442"/>
      <c r="T90" s="442"/>
      <c r="U90" s="444"/>
      <c r="V90" s="447"/>
    </row>
    <row r="91" spans="1:22">
      <c r="A91" s="479"/>
      <c r="B91" s="470" t="s">
        <v>216</v>
      </c>
      <c r="C91" s="470"/>
      <c r="D91" s="470"/>
      <c r="E91" s="457" t="b">
        <f>'P3 Data Security'!F8</f>
        <v>0</v>
      </c>
      <c r="F91" s="457"/>
      <c r="G91" s="149">
        <f>'P3 Data Security'!H8</f>
        <v>0</v>
      </c>
      <c r="H91" s="443"/>
      <c r="I91" s="443"/>
      <c r="J91" s="443"/>
      <c r="K91" s="443"/>
      <c r="L91" s="443"/>
      <c r="M91" s="443"/>
      <c r="N91" s="444"/>
      <c r="O91" s="443"/>
      <c r="P91" s="444"/>
      <c r="Q91" s="442"/>
      <c r="R91" s="443"/>
      <c r="S91" s="442"/>
      <c r="T91" s="442"/>
      <c r="U91" s="444"/>
      <c r="V91" s="447"/>
    </row>
    <row r="92" spans="1:22">
      <c r="A92" s="479"/>
      <c r="B92" s="470" t="s">
        <v>217</v>
      </c>
      <c r="C92" s="470"/>
      <c r="D92" s="470"/>
      <c r="E92" s="457" t="b">
        <f>'P3 Data Security'!F9</f>
        <v>0</v>
      </c>
      <c r="F92" s="457"/>
      <c r="G92" s="149">
        <f>'P3 Data Security'!H9</f>
        <v>0</v>
      </c>
      <c r="H92" s="443"/>
      <c r="I92" s="443"/>
      <c r="J92" s="443"/>
      <c r="K92" s="443"/>
      <c r="L92" s="443"/>
      <c r="M92" s="443"/>
      <c r="N92" s="444"/>
      <c r="O92" s="443"/>
      <c r="P92" s="444"/>
      <c r="Q92" s="442"/>
      <c r="R92" s="443"/>
      <c r="S92" s="442"/>
      <c r="T92" s="442"/>
      <c r="U92" s="444"/>
      <c r="V92" s="447"/>
    </row>
    <row r="93" spans="1:22">
      <c r="A93" s="479"/>
      <c r="B93" s="470" t="s">
        <v>218</v>
      </c>
      <c r="C93" s="470"/>
      <c r="D93" s="470"/>
      <c r="E93" s="457" t="b">
        <f>'P3 Data Security'!F10</f>
        <v>0</v>
      </c>
      <c r="F93" s="457"/>
      <c r="G93" s="149">
        <f>'P3 Data Security'!H10</f>
        <v>0</v>
      </c>
      <c r="H93" s="443"/>
      <c r="I93" s="443"/>
      <c r="J93" s="443"/>
      <c r="K93" s="443"/>
      <c r="L93" s="443"/>
      <c r="M93" s="443"/>
      <c r="N93" s="444"/>
      <c r="O93" s="443"/>
      <c r="P93" s="444"/>
      <c r="Q93" s="442"/>
      <c r="R93" s="443"/>
      <c r="S93" s="442"/>
      <c r="T93" s="442"/>
      <c r="U93" s="444"/>
      <c r="V93" s="447"/>
    </row>
    <row r="94" spans="1:22">
      <c r="A94" s="479"/>
      <c r="B94" s="470" t="s">
        <v>219</v>
      </c>
      <c r="C94" s="470"/>
      <c r="D94" s="470"/>
      <c r="E94" s="457" t="b">
        <f>'P3 Data Security'!F11</f>
        <v>0</v>
      </c>
      <c r="F94" s="457"/>
      <c r="G94" s="149">
        <f>'P3 Data Security'!H11</f>
        <v>0</v>
      </c>
      <c r="H94" s="443"/>
      <c r="I94" s="443"/>
      <c r="J94" s="443"/>
      <c r="K94" s="443"/>
      <c r="L94" s="443"/>
      <c r="M94" s="443"/>
      <c r="N94" s="444"/>
      <c r="O94" s="443"/>
      <c r="P94" s="444"/>
      <c r="Q94" s="442"/>
      <c r="R94" s="443"/>
      <c r="S94" s="442"/>
      <c r="T94" s="442"/>
      <c r="U94" s="444"/>
      <c r="V94" s="447"/>
    </row>
    <row r="95" spans="1:22" ht="15" customHeight="1">
      <c r="A95" s="478">
        <v>4</v>
      </c>
      <c r="B95" s="451" t="s">
        <v>220</v>
      </c>
      <c r="C95" s="451"/>
      <c r="D95" s="451"/>
      <c r="E95" s="457">
        <f>'P3 Data Security'!F12</f>
        <v>0</v>
      </c>
      <c r="F95" s="457"/>
      <c r="G95" s="146"/>
      <c r="H95" s="443" t="str">
        <f>'P3 Data Security'!I12</f>
        <v/>
      </c>
      <c r="I95" s="443" t="str">
        <f>'P3 Data Security'!J12</f>
        <v/>
      </c>
      <c r="J95" s="443" t="str">
        <f>'P3 Data Security'!K12</f>
        <v/>
      </c>
      <c r="K95" s="443" t="str">
        <f>'P3 Data Security'!L12</f>
        <v/>
      </c>
      <c r="L95" s="443" t="str">
        <f>'P3 Data Security'!M12</f>
        <v/>
      </c>
      <c r="M95" s="443" t="str">
        <f>'P3 Data Security'!N12</f>
        <v/>
      </c>
      <c r="N95" s="444" t="s">
        <v>388</v>
      </c>
      <c r="O95" s="443" t="s">
        <v>455</v>
      </c>
      <c r="P95" s="444" t="s">
        <v>390</v>
      </c>
      <c r="Q95" s="443" t="s">
        <v>391</v>
      </c>
      <c r="R95" s="443" t="s">
        <v>456</v>
      </c>
      <c r="S95" s="442"/>
      <c r="T95" s="442">
        <v>30</v>
      </c>
      <c r="U95" s="443" t="s">
        <v>394</v>
      </c>
      <c r="V95" s="446" t="s">
        <v>395</v>
      </c>
    </row>
    <row r="96" spans="1:22" ht="15">
      <c r="A96" s="478"/>
      <c r="B96" s="472" t="s">
        <v>221</v>
      </c>
      <c r="C96" s="472"/>
      <c r="D96" s="472"/>
      <c r="E96" s="472"/>
      <c r="F96" s="472"/>
      <c r="G96" s="472"/>
      <c r="H96" s="443"/>
      <c r="I96" s="443"/>
      <c r="J96" s="443"/>
      <c r="K96" s="443"/>
      <c r="L96" s="443"/>
      <c r="M96" s="443"/>
      <c r="N96" s="444"/>
      <c r="O96" s="443"/>
      <c r="P96" s="444"/>
      <c r="Q96" s="443"/>
      <c r="R96" s="443"/>
      <c r="S96" s="442"/>
      <c r="T96" s="442"/>
      <c r="U96" s="444"/>
      <c r="V96" s="446"/>
    </row>
    <row r="97" spans="1:22">
      <c r="A97" s="478"/>
      <c r="B97" s="449" t="s">
        <v>222</v>
      </c>
      <c r="C97" s="449"/>
      <c r="D97" s="449"/>
      <c r="E97" s="471" t="b">
        <f>'P3 Data Security'!F14</f>
        <v>0</v>
      </c>
      <c r="F97" s="471"/>
      <c r="G97" s="149">
        <f>'P3 Data Security'!H14</f>
        <v>0</v>
      </c>
      <c r="H97" s="443"/>
      <c r="I97" s="443"/>
      <c r="J97" s="443"/>
      <c r="K97" s="443"/>
      <c r="L97" s="443"/>
      <c r="M97" s="443"/>
      <c r="N97" s="444"/>
      <c r="O97" s="443"/>
      <c r="P97" s="444"/>
      <c r="Q97" s="443"/>
      <c r="R97" s="443"/>
      <c r="S97" s="442"/>
      <c r="T97" s="442"/>
      <c r="U97" s="444"/>
      <c r="V97" s="446"/>
    </row>
    <row r="98" spans="1:22">
      <c r="A98" s="478"/>
      <c r="B98" s="449" t="s">
        <v>223</v>
      </c>
      <c r="C98" s="449"/>
      <c r="D98" s="449"/>
      <c r="E98" s="471" t="b">
        <f>'P3 Data Security'!F15</f>
        <v>0</v>
      </c>
      <c r="F98" s="471"/>
      <c r="G98" s="149">
        <f>'P3 Data Security'!H15</f>
        <v>0</v>
      </c>
      <c r="H98" s="443"/>
      <c r="I98" s="443"/>
      <c r="J98" s="443"/>
      <c r="K98" s="443"/>
      <c r="L98" s="443"/>
      <c r="M98" s="443"/>
      <c r="N98" s="444"/>
      <c r="O98" s="443"/>
      <c r="P98" s="444"/>
      <c r="Q98" s="443"/>
      <c r="R98" s="443"/>
      <c r="S98" s="442"/>
      <c r="T98" s="442"/>
      <c r="U98" s="444"/>
      <c r="V98" s="446"/>
    </row>
    <row r="99" spans="1:22">
      <c r="A99" s="478"/>
      <c r="B99" s="449" t="s">
        <v>224</v>
      </c>
      <c r="C99" s="449"/>
      <c r="D99" s="449"/>
      <c r="E99" s="471" t="b">
        <f>'P3 Data Security'!F16</f>
        <v>0</v>
      </c>
      <c r="F99" s="471"/>
      <c r="G99" s="149">
        <f>'P3 Data Security'!H16</f>
        <v>0</v>
      </c>
      <c r="H99" s="443"/>
      <c r="I99" s="443"/>
      <c r="J99" s="443"/>
      <c r="K99" s="443"/>
      <c r="L99" s="443"/>
      <c r="M99" s="443"/>
      <c r="N99" s="444"/>
      <c r="O99" s="443"/>
      <c r="P99" s="444"/>
      <c r="Q99" s="443"/>
      <c r="R99" s="443"/>
      <c r="S99" s="442"/>
      <c r="T99" s="442"/>
      <c r="U99" s="444"/>
      <c r="V99" s="446"/>
    </row>
    <row r="100" spans="1:22">
      <c r="A100" s="478"/>
      <c r="B100" s="449" t="s">
        <v>225</v>
      </c>
      <c r="C100" s="449"/>
      <c r="D100" s="449"/>
      <c r="E100" s="471" t="b">
        <f>'P3 Data Security'!F17</f>
        <v>0</v>
      </c>
      <c r="F100" s="471"/>
      <c r="G100" s="149">
        <f>'P3 Data Security'!H17</f>
        <v>0</v>
      </c>
      <c r="H100" s="443"/>
      <c r="I100" s="443"/>
      <c r="J100" s="443"/>
      <c r="K100" s="443"/>
      <c r="L100" s="443"/>
      <c r="M100" s="443"/>
      <c r="N100" s="444"/>
      <c r="O100" s="443"/>
      <c r="P100" s="444"/>
      <c r="Q100" s="443"/>
      <c r="R100" s="443"/>
      <c r="S100" s="442"/>
      <c r="T100" s="442"/>
      <c r="U100" s="444"/>
      <c r="V100" s="446"/>
    </row>
    <row r="101" spans="1:22">
      <c r="A101" s="478"/>
      <c r="B101" s="449" t="s">
        <v>226</v>
      </c>
      <c r="C101" s="449"/>
      <c r="D101" s="449"/>
      <c r="E101" s="471" t="b">
        <f>'P3 Data Security'!F18</f>
        <v>0</v>
      </c>
      <c r="F101" s="471"/>
      <c r="G101" s="149">
        <f>'P3 Data Security'!H18</f>
        <v>0</v>
      </c>
      <c r="H101" s="443"/>
      <c r="I101" s="443"/>
      <c r="J101" s="443"/>
      <c r="K101" s="443"/>
      <c r="L101" s="443"/>
      <c r="M101" s="443"/>
      <c r="N101" s="444"/>
      <c r="O101" s="443"/>
      <c r="P101" s="444"/>
      <c r="Q101" s="443"/>
      <c r="R101" s="443"/>
      <c r="S101" s="442"/>
      <c r="T101" s="442"/>
      <c r="U101" s="444"/>
      <c r="V101" s="446"/>
    </row>
    <row r="102" spans="1:22" ht="15">
      <c r="A102" s="478"/>
      <c r="B102" s="472" t="s">
        <v>227</v>
      </c>
      <c r="C102" s="472"/>
      <c r="D102" s="472"/>
      <c r="E102" s="471" t="b">
        <f>'P3 Data Security'!F19</f>
        <v>0</v>
      </c>
      <c r="F102" s="471"/>
      <c r="G102" s="149">
        <f>'P3 Data Security'!H19</f>
        <v>0</v>
      </c>
      <c r="H102" s="443"/>
      <c r="I102" s="443"/>
      <c r="J102" s="443"/>
      <c r="K102" s="443"/>
      <c r="L102" s="443"/>
      <c r="M102" s="443"/>
      <c r="N102" s="444"/>
      <c r="O102" s="443"/>
      <c r="P102" s="444"/>
      <c r="Q102" s="443"/>
      <c r="R102" s="443"/>
      <c r="S102" s="442"/>
      <c r="T102" s="442"/>
      <c r="U102" s="444"/>
      <c r="V102" s="446"/>
    </row>
    <row r="103" spans="1:22" ht="15">
      <c r="A103" s="478"/>
      <c r="B103" s="472" t="s">
        <v>228</v>
      </c>
      <c r="C103" s="472"/>
      <c r="D103" s="472"/>
      <c r="E103" s="472"/>
      <c r="F103" s="472"/>
      <c r="G103" s="472"/>
      <c r="H103" s="443"/>
      <c r="I103" s="443"/>
      <c r="J103" s="443"/>
      <c r="K103" s="443"/>
      <c r="L103" s="443"/>
      <c r="M103" s="443"/>
      <c r="N103" s="444"/>
      <c r="O103" s="443"/>
      <c r="P103" s="444"/>
      <c r="Q103" s="443"/>
      <c r="R103" s="443"/>
      <c r="S103" s="442"/>
      <c r="T103" s="442"/>
      <c r="U103" s="444"/>
      <c r="V103" s="446"/>
    </row>
    <row r="104" spans="1:22">
      <c r="A104" s="478"/>
      <c r="B104" s="449" t="s">
        <v>229</v>
      </c>
      <c r="C104" s="449"/>
      <c r="D104" s="449"/>
      <c r="E104" s="471" t="b">
        <v>0</v>
      </c>
      <c r="F104" s="471"/>
      <c r="G104" s="149"/>
      <c r="H104" s="443"/>
      <c r="I104" s="443"/>
      <c r="J104" s="443"/>
      <c r="K104" s="443"/>
      <c r="L104" s="443"/>
      <c r="M104" s="443"/>
      <c r="N104" s="444"/>
      <c r="O104" s="443"/>
      <c r="P104" s="444"/>
      <c r="Q104" s="443"/>
      <c r="R104" s="443"/>
      <c r="S104" s="442"/>
      <c r="T104" s="442"/>
      <c r="U104" s="444"/>
      <c r="V104" s="446"/>
    </row>
    <row r="105" spans="1:22">
      <c r="A105" s="478"/>
      <c r="B105" s="449" t="s">
        <v>230</v>
      </c>
      <c r="C105" s="449"/>
      <c r="D105" s="449"/>
      <c r="E105" s="471" t="b">
        <v>0</v>
      </c>
      <c r="F105" s="471"/>
      <c r="G105" s="149"/>
      <c r="H105" s="443"/>
      <c r="I105" s="443"/>
      <c r="J105" s="443"/>
      <c r="K105" s="443"/>
      <c r="L105" s="443"/>
      <c r="M105" s="443"/>
      <c r="N105" s="444"/>
      <c r="O105" s="443"/>
      <c r="P105" s="444"/>
      <c r="Q105" s="443"/>
      <c r="R105" s="443"/>
      <c r="S105" s="442"/>
      <c r="T105" s="442"/>
      <c r="U105" s="444"/>
      <c r="V105" s="446"/>
    </row>
    <row r="106" spans="1:22">
      <c r="A106" s="478"/>
      <c r="B106" s="449" t="s">
        <v>231</v>
      </c>
      <c r="C106" s="449"/>
      <c r="D106" s="449"/>
      <c r="E106" s="471" t="b">
        <v>0</v>
      </c>
      <c r="F106" s="471"/>
      <c r="G106" s="149"/>
      <c r="H106" s="443"/>
      <c r="I106" s="443"/>
      <c r="J106" s="443"/>
      <c r="K106" s="443"/>
      <c r="L106" s="443"/>
      <c r="M106" s="443"/>
      <c r="N106" s="444"/>
      <c r="O106" s="443"/>
      <c r="P106" s="444"/>
      <c r="Q106" s="443"/>
      <c r="R106" s="443"/>
      <c r="S106" s="442"/>
      <c r="T106" s="442"/>
      <c r="U106" s="444"/>
      <c r="V106" s="446"/>
    </row>
    <row r="107" spans="1:22" ht="15">
      <c r="A107" s="478"/>
      <c r="B107" s="472" t="s">
        <v>232</v>
      </c>
      <c r="C107" s="472"/>
      <c r="D107" s="472"/>
      <c r="E107" s="472"/>
      <c r="F107" s="472"/>
      <c r="G107" s="472"/>
      <c r="H107" s="443"/>
      <c r="I107" s="443"/>
      <c r="J107" s="443"/>
      <c r="K107" s="443"/>
      <c r="L107" s="443"/>
      <c r="M107" s="443"/>
      <c r="N107" s="444"/>
      <c r="O107" s="443"/>
      <c r="P107" s="444"/>
      <c r="Q107" s="443"/>
      <c r="R107" s="443"/>
      <c r="S107" s="442"/>
      <c r="T107" s="442"/>
      <c r="U107" s="444"/>
      <c r="V107" s="446"/>
    </row>
    <row r="108" spans="1:22">
      <c r="A108" s="478"/>
      <c r="B108" s="449" t="s">
        <v>233</v>
      </c>
      <c r="C108" s="449"/>
      <c r="D108" s="449"/>
      <c r="E108" s="471" t="b">
        <v>0</v>
      </c>
      <c r="F108" s="471"/>
      <c r="G108" s="149"/>
      <c r="H108" s="443"/>
      <c r="I108" s="443"/>
      <c r="J108" s="443"/>
      <c r="K108" s="443"/>
      <c r="L108" s="443"/>
      <c r="M108" s="443"/>
      <c r="N108" s="444"/>
      <c r="O108" s="443"/>
      <c r="P108" s="444"/>
      <c r="Q108" s="443"/>
      <c r="R108" s="443"/>
      <c r="S108" s="442"/>
      <c r="T108" s="442"/>
      <c r="U108" s="444"/>
      <c r="V108" s="446"/>
    </row>
    <row r="109" spans="1:22">
      <c r="A109" s="478"/>
      <c r="B109" s="449" t="s">
        <v>234</v>
      </c>
      <c r="C109" s="449"/>
      <c r="D109" s="449"/>
      <c r="E109" s="471" t="b">
        <v>0</v>
      </c>
      <c r="F109" s="471"/>
      <c r="G109" s="149"/>
      <c r="H109" s="443"/>
      <c r="I109" s="443"/>
      <c r="J109" s="443"/>
      <c r="K109" s="443"/>
      <c r="L109" s="443"/>
      <c r="M109" s="443"/>
      <c r="N109" s="444"/>
      <c r="O109" s="443"/>
      <c r="P109" s="444"/>
      <c r="Q109" s="443"/>
      <c r="R109" s="443"/>
      <c r="S109" s="442"/>
      <c r="T109" s="442"/>
      <c r="U109" s="444"/>
      <c r="V109" s="446"/>
    </row>
    <row r="110" spans="1:22">
      <c r="A110" s="478"/>
      <c r="B110" s="449" t="s">
        <v>235</v>
      </c>
      <c r="C110" s="449"/>
      <c r="D110" s="449"/>
      <c r="E110" s="471" t="b">
        <v>0</v>
      </c>
      <c r="F110" s="471"/>
      <c r="G110" s="149"/>
      <c r="H110" s="443"/>
      <c r="I110" s="443"/>
      <c r="J110" s="443"/>
      <c r="K110" s="443"/>
      <c r="L110" s="443"/>
      <c r="M110" s="443"/>
      <c r="N110" s="444"/>
      <c r="O110" s="443"/>
      <c r="P110" s="444"/>
      <c r="Q110" s="443"/>
      <c r="R110" s="443"/>
      <c r="S110" s="442"/>
      <c r="T110" s="442"/>
      <c r="U110" s="444"/>
      <c r="V110" s="446"/>
    </row>
    <row r="111" spans="1:22">
      <c r="A111" s="478"/>
      <c r="B111" s="449" t="s">
        <v>236</v>
      </c>
      <c r="C111" s="449"/>
      <c r="D111" s="449"/>
      <c r="E111" s="471" t="b">
        <v>0</v>
      </c>
      <c r="F111" s="471"/>
      <c r="G111" s="149"/>
      <c r="H111" s="443"/>
      <c r="I111" s="443"/>
      <c r="J111" s="443"/>
      <c r="K111" s="443"/>
      <c r="L111" s="443"/>
      <c r="M111" s="443"/>
      <c r="N111" s="444"/>
      <c r="O111" s="443"/>
      <c r="P111" s="444"/>
      <c r="Q111" s="443"/>
      <c r="R111" s="443"/>
      <c r="S111" s="442"/>
      <c r="T111" s="442"/>
      <c r="U111" s="444"/>
      <c r="V111" s="446"/>
    </row>
    <row r="112" spans="1:22">
      <c r="A112" s="478"/>
      <c r="B112" s="449" t="s">
        <v>237</v>
      </c>
      <c r="C112" s="449"/>
      <c r="D112" s="449"/>
      <c r="E112" s="471" t="b">
        <v>0</v>
      </c>
      <c r="F112" s="471"/>
      <c r="G112" s="149"/>
      <c r="H112" s="443"/>
      <c r="I112" s="443"/>
      <c r="J112" s="443"/>
      <c r="K112" s="443"/>
      <c r="L112" s="443"/>
      <c r="M112" s="443"/>
      <c r="N112" s="444"/>
      <c r="O112" s="443"/>
      <c r="P112" s="444"/>
      <c r="Q112" s="443"/>
      <c r="R112" s="443"/>
      <c r="S112" s="442"/>
      <c r="T112" s="442"/>
      <c r="U112" s="444"/>
      <c r="V112" s="446"/>
    </row>
    <row r="113" spans="1:22" ht="114">
      <c r="A113" s="144">
        <v>5</v>
      </c>
      <c r="B113" s="454" t="s">
        <v>238</v>
      </c>
      <c r="C113" s="454"/>
      <c r="D113" s="454"/>
      <c r="E113" s="457" t="s">
        <v>420</v>
      </c>
      <c r="F113" s="457"/>
      <c r="G113" s="149"/>
      <c r="H113" s="147" t="str">
        <f>'P3 Data Security'!I30</f>
        <v/>
      </c>
      <c r="I113" s="147" t="str">
        <f>'P3 Data Security'!J30</f>
        <v/>
      </c>
      <c r="J113" s="147" t="str">
        <f>'P3 Data Security'!K30</f>
        <v/>
      </c>
      <c r="K113" s="147" t="str">
        <f>'P3 Data Security'!L30</f>
        <v/>
      </c>
      <c r="L113" s="147" t="str">
        <f>'P3 Data Security'!M30</f>
        <v/>
      </c>
      <c r="M113" s="147" t="str">
        <f>'P3 Data Security'!N30</f>
        <v/>
      </c>
      <c r="N113" s="148" t="s">
        <v>388</v>
      </c>
      <c r="O113" s="147" t="s">
        <v>457</v>
      </c>
      <c r="P113" s="149" t="s">
        <v>390</v>
      </c>
      <c r="Q113" s="148" t="s">
        <v>391</v>
      </c>
      <c r="R113" s="147" t="s">
        <v>458</v>
      </c>
      <c r="S113" s="143"/>
      <c r="T113" s="143">
        <v>7</v>
      </c>
      <c r="U113" s="159" t="s">
        <v>394</v>
      </c>
      <c r="V113" s="153" t="s">
        <v>395</v>
      </c>
    </row>
    <row r="114" spans="1:22" ht="99.75">
      <c r="A114" s="144">
        <v>6</v>
      </c>
      <c r="B114" s="454" t="s">
        <v>239</v>
      </c>
      <c r="C114" s="454"/>
      <c r="D114" s="454"/>
      <c r="E114" s="457" t="s">
        <v>420</v>
      </c>
      <c r="F114" s="457"/>
      <c r="G114" s="149"/>
      <c r="H114" s="147" t="str">
        <f>'P3 Data Security'!I31</f>
        <v/>
      </c>
      <c r="I114" s="147" t="str">
        <f>'P3 Data Security'!J31</f>
        <v/>
      </c>
      <c r="J114" s="147" t="str">
        <f>'P3 Data Security'!K31</f>
        <v/>
      </c>
      <c r="K114" s="147" t="str">
        <f>'P3 Data Security'!L31</f>
        <v/>
      </c>
      <c r="L114" s="147" t="str">
        <f>'P3 Data Security'!M31</f>
        <v/>
      </c>
      <c r="M114" s="147" t="str">
        <f>'P3 Data Security'!N31</f>
        <v/>
      </c>
      <c r="N114" s="148" t="s">
        <v>388</v>
      </c>
      <c r="O114" s="147" t="s">
        <v>459</v>
      </c>
      <c r="P114" s="149" t="s">
        <v>390</v>
      </c>
      <c r="Q114" s="148" t="s">
        <v>391</v>
      </c>
      <c r="R114" s="147" t="s">
        <v>460</v>
      </c>
      <c r="S114" s="143"/>
      <c r="T114" s="143">
        <v>60</v>
      </c>
      <c r="U114" s="159" t="s">
        <v>394</v>
      </c>
      <c r="V114" s="153" t="s">
        <v>395</v>
      </c>
    </row>
    <row r="115" spans="1:22" ht="15" customHeight="1">
      <c r="A115" s="478">
        <v>7</v>
      </c>
      <c r="B115" s="451" t="s">
        <v>240</v>
      </c>
      <c r="C115" s="451"/>
      <c r="D115" s="451"/>
      <c r="E115" s="457" t="s">
        <v>420</v>
      </c>
      <c r="F115" s="457"/>
      <c r="G115" s="146"/>
      <c r="H115" s="443" t="str">
        <f>'P3 Data Security'!I32</f>
        <v/>
      </c>
      <c r="I115" s="443" t="str">
        <f>'P3 Data Security'!J32</f>
        <v/>
      </c>
      <c r="J115" s="443" t="str">
        <f>'P3 Data Security'!K32</f>
        <v/>
      </c>
      <c r="K115" s="443" t="str">
        <f>'P3 Data Security'!L32</f>
        <v/>
      </c>
      <c r="L115" s="443" t="str">
        <f>'P3 Data Security'!M32</f>
        <v/>
      </c>
      <c r="M115" s="443" t="str">
        <f>'P3 Data Security'!N32</f>
        <v/>
      </c>
      <c r="N115" s="444" t="s">
        <v>388</v>
      </c>
      <c r="O115" s="443" t="s">
        <v>461</v>
      </c>
      <c r="P115" s="444" t="s">
        <v>390</v>
      </c>
      <c r="Q115" s="444" t="s">
        <v>391</v>
      </c>
      <c r="R115" s="443" t="s">
        <v>462</v>
      </c>
      <c r="S115" s="442"/>
      <c r="T115" s="443">
        <v>30</v>
      </c>
      <c r="U115" s="445" t="s">
        <v>394</v>
      </c>
      <c r="V115" s="446" t="s">
        <v>395</v>
      </c>
    </row>
    <row r="116" spans="1:22" ht="15">
      <c r="A116" s="478"/>
      <c r="B116" s="472" t="s">
        <v>241</v>
      </c>
      <c r="C116" s="472"/>
      <c r="D116" s="472"/>
      <c r="E116" s="472"/>
      <c r="F116" s="472"/>
      <c r="G116" s="472"/>
      <c r="H116" s="443"/>
      <c r="I116" s="443"/>
      <c r="J116" s="443"/>
      <c r="K116" s="443"/>
      <c r="L116" s="443"/>
      <c r="M116" s="443"/>
      <c r="N116" s="444"/>
      <c r="O116" s="443"/>
      <c r="P116" s="444"/>
      <c r="Q116" s="444"/>
      <c r="R116" s="443"/>
      <c r="S116" s="442"/>
      <c r="T116" s="443"/>
      <c r="U116" s="444"/>
      <c r="V116" s="447"/>
    </row>
    <row r="117" spans="1:22">
      <c r="A117" s="478"/>
      <c r="B117" s="449" t="s">
        <v>242</v>
      </c>
      <c r="C117" s="449"/>
      <c r="D117" s="449"/>
      <c r="E117" s="471" t="b">
        <v>0</v>
      </c>
      <c r="F117" s="471"/>
      <c r="G117" s="149"/>
      <c r="H117" s="443"/>
      <c r="I117" s="443"/>
      <c r="J117" s="443"/>
      <c r="K117" s="443"/>
      <c r="L117" s="443"/>
      <c r="M117" s="443"/>
      <c r="N117" s="444"/>
      <c r="O117" s="443"/>
      <c r="P117" s="444"/>
      <c r="Q117" s="444"/>
      <c r="R117" s="443"/>
      <c r="S117" s="442"/>
      <c r="T117" s="443"/>
      <c r="U117" s="444"/>
      <c r="V117" s="447"/>
    </row>
    <row r="118" spans="1:22">
      <c r="A118" s="478"/>
      <c r="B118" s="449" t="s">
        <v>243</v>
      </c>
      <c r="C118" s="449"/>
      <c r="D118" s="449"/>
      <c r="E118" s="471" t="b">
        <v>0</v>
      </c>
      <c r="F118" s="471"/>
      <c r="G118" s="149"/>
      <c r="H118" s="443"/>
      <c r="I118" s="443"/>
      <c r="J118" s="443"/>
      <c r="K118" s="443"/>
      <c r="L118" s="443"/>
      <c r="M118" s="443"/>
      <c r="N118" s="444"/>
      <c r="O118" s="443"/>
      <c r="P118" s="444"/>
      <c r="Q118" s="444"/>
      <c r="R118" s="443"/>
      <c r="S118" s="442"/>
      <c r="T118" s="443"/>
      <c r="U118" s="444"/>
      <c r="V118" s="447"/>
    </row>
    <row r="119" spans="1:22">
      <c r="A119" s="478"/>
      <c r="B119" s="449" t="s">
        <v>244</v>
      </c>
      <c r="C119" s="449"/>
      <c r="D119" s="449"/>
      <c r="E119" s="471" t="b">
        <v>0</v>
      </c>
      <c r="F119" s="471"/>
      <c r="G119" s="149"/>
      <c r="H119" s="443"/>
      <c r="I119" s="443"/>
      <c r="J119" s="443"/>
      <c r="K119" s="443"/>
      <c r="L119" s="443"/>
      <c r="M119" s="443"/>
      <c r="N119" s="444"/>
      <c r="O119" s="443"/>
      <c r="P119" s="444"/>
      <c r="Q119" s="444"/>
      <c r="R119" s="443"/>
      <c r="S119" s="442"/>
      <c r="T119" s="443"/>
      <c r="U119" s="444"/>
      <c r="V119" s="447"/>
    </row>
    <row r="120" spans="1:22" ht="15">
      <c r="A120" s="478"/>
      <c r="B120" s="472" t="s">
        <v>245</v>
      </c>
      <c r="C120" s="472"/>
      <c r="D120" s="472"/>
      <c r="E120" s="472"/>
      <c r="F120" s="472"/>
      <c r="G120" s="472"/>
      <c r="H120" s="443"/>
      <c r="I120" s="443"/>
      <c r="J120" s="443"/>
      <c r="K120" s="443"/>
      <c r="L120" s="443"/>
      <c r="M120" s="443"/>
      <c r="N120" s="444"/>
      <c r="O120" s="443"/>
      <c r="P120" s="444"/>
      <c r="Q120" s="444"/>
      <c r="R120" s="443"/>
      <c r="S120" s="442"/>
      <c r="T120" s="443"/>
      <c r="U120" s="444"/>
      <c r="V120" s="447"/>
    </row>
    <row r="121" spans="1:22">
      <c r="A121" s="478"/>
      <c r="B121" s="449" t="s">
        <v>246</v>
      </c>
      <c r="C121" s="449"/>
      <c r="D121" s="449"/>
      <c r="E121" s="471" t="b">
        <v>0</v>
      </c>
      <c r="F121" s="471"/>
      <c r="G121" s="149"/>
      <c r="H121" s="443"/>
      <c r="I121" s="443"/>
      <c r="J121" s="443"/>
      <c r="K121" s="443"/>
      <c r="L121" s="443"/>
      <c r="M121" s="443"/>
      <c r="N121" s="444"/>
      <c r="O121" s="443"/>
      <c r="P121" s="444"/>
      <c r="Q121" s="444"/>
      <c r="R121" s="443"/>
      <c r="S121" s="442"/>
      <c r="T121" s="443"/>
      <c r="U121" s="444"/>
      <c r="V121" s="447"/>
    </row>
    <row r="122" spans="1:22">
      <c r="A122" s="478"/>
      <c r="B122" s="449" t="s">
        <v>247</v>
      </c>
      <c r="C122" s="449"/>
      <c r="D122" s="449"/>
      <c r="E122" s="471" t="b">
        <v>0</v>
      </c>
      <c r="F122" s="471"/>
      <c r="G122" s="149"/>
      <c r="H122" s="443"/>
      <c r="I122" s="443"/>
      <c r="J122" s="443"/>
      <c r="K122" s="443"/>
      <c r="L122" s="443"/>
      <c r="M122" s="443"/>
      <c r="N122" s="444"/>
      <c r="O122" s="443"/>
      <c r="P122" s="444"/>
      <c r="Q122" s="444"/>
      <c r="R122" s="443"/>
      <c r="S122" s="442"/>
      <c r="T122" s="443"/>
      <c r="U122" s="444"/>
      <c r="V122" s="447"/>
    </row>
    <row r="123" spans="1:22">
      <c r="A123" s="478"/>
      <c r="B123" s="449" t="s">
        <v>248</v>
      </c>
      <c r="C123" s="449"/>
      <c r="D123" s="449"/>
      <c r="E123" s="471" t="b">
        <v>0</v>
      </c>
      <c r="F123" s="471"/>
      <c r="G123" s="149"/>
      <c r="H123" s="443"/>
      <c r="I123" s="443"/>
      <c r="J123" s="443"/>
      <c r="K123" s="443"/>
      <c r="L123" s="443"/>
      <c r="M123" s="443"/>
      <c r="N123" s="444"/>
      <c r="O123" s="443"/>
      <c r="P123" s="444"/>
      <c r="Q123" s="444"/>
      <c r="R123" s="443"/>
      <c r="S123" s="442"/>
      <c r="T123" s="443"/>
      <c r="U123" s="444"/>
      <c r="V123" s="447"/>
    </row>
    <row r="124" spans="1:22">
      <c r="A124" s="478"/>
      <c r="B124" s="449" t="s">
        <v>249</v>
      </c>
      <c r="C124" s="449"/>
      <c r="D124" s="449"/>
      <c r="E124" s="471" t="b">
        <v>0</v>
      </c>
      <c r="F124" s="471"/>
      <c r="G124" s="149"/>
      <c r="H124" s="443"/>
      <c r="I124" s="443"/>
      <c r="J124" s="443"/>
      <c r="K124" s="443"/>
      <c r="L124" s="443"/>
      <c r="M124" s="443"/>
      <c r="N124" s="444"/>
      <c r="O124" s="443"/>
      <c r="P124" s="444"/>
      <c r="Q124" s="444"/>
      <c r="R124" s="443"/>
      <c r="S124" s="442"/>
      <c r="T124" s="443"/>
      <c r="U124" s="444"/>
      <c r="V124" s="447"/>
    </row>
    <row r="125" spans="1:22">
      <c r="A125" s="478"/>
      <c r="B125" s="449" t="s">
        <v>250</v>
      </c>
      <c r="C125" s="449"/>
      <c r="D125" s="449"/>
      <c r="E125" s="471" t="b">
        <v>0</v>
      </c>
      <c r="F125" s="471"/>
      <c r="G125" s="149"/>
      <c r="H125" s="443"/>
      <c r="I125" s="443"/>
      <c r="J125" s="443"/>
      <c r="K125" s="443"/>
      <c r="L125" s="443"/>
      <c r="M125" s="443"/>
      <c r="N125" s="444"/>
      <c r="O125" s="443"/>
      <c r="P125" s="444"/>
      <c r="Q125" s="444"/>
      <c r="R125" s="443"/>
      <c r="S125" s="442"/>
      <c r="T125" s="443"/>
      <c r="U125" s="444"/>
      <c r="V125" s="447"/>
    </row>
    <row r="126" spans="1:22">
      <c r="A126" s="478"/>
      <c r="B126" s="449" t="s">
        <v>251</v>
      </c>
      <c r="C126" s="449"/>
      <c r="D126" s="449"/>
      <c r="E126" s="471" t="b">
        <v>0</v>
      </c>
      <c r="F126" s="471"/>
      <c r="G126" s="149"/>
      <c r="H126" s="443"/>
      <c r="I126" s="443"/>
      <c r="J126" s="443"/>
      <c r="K126" s="443"/>
      <c r="L126" s="443"/>
      <c r="M126" s="443"/>
      <c r="N126" s="444"/>
      <c r="O126" s="443"/>
      <c r="P126" s="444"/>
      <c r="Q126" s="444"/>
      <c r="R126" s="443"/>
      <c r="S126" s="442"/>
      <c r="T126" s="443"/>
      <c r="U126" s="444"/>
      <c r="V126" s="447"/>
    </row>
    <row r="127" spans="1:22">
      <c r="A127" s="478"/>
      <c r="B127" s="449" t="s">
        <v>252</v>
      </c>
      <c r="C127" s="449"/>
      <c r="D127" s="449"/>
      <c r="E127" s="471" t="b">
        <v>0</v>
      </c>
      <c r="F127" s="471"/>
      <c r="G127" s="149"/>
      <c r="H127" s="443"/>
      <c r="I127" s="443"/>
      <c r="J127" s="443"/>
      <c r="K127" s="443"/>
      <c r="L127" s="443"/>
      <c r="M127" s="443"/>
      <c r="N127" s="444"/>
      <c r="O127" s="443"/>
      <c r="P127" s="444"/>
      <c r="Q127" s="444"/>
      <c r="R127" s="443"/>
      <c r="S127" s="442"/>
      <c r="T127" s="443"/>
      <c r="U127" s="444"/>
      <c r="V127" s="447"/>
    </row>
    <row r="128" spans="1:22">
      <c r="A128" s="478"/>
      <c r="B128" s="449" t="s">
        <v>253</v>
      </c>
      <c r="C128" s="449"/>
      <c r="D128" s="449"/>
      <c r="E128" s="471" t="b">
        <v>0</v>
      </c>
      <c r="F128" s="471"/>
      <c r="G128" s="149"/>
      <c r="H128" s="443"/>
      <c r="I128" s="443"/>
      <c r="J128" s="443"/>
      <c r="K128" s="443"/>
      <c r="L128" s="443"/>
      <c r="M128" s="443"/>
      <c r="N128" s="444"/>
      <c r="O128" s="443"/>
      <c r="P128" s="444"/>
      <c r="Q128" s="444"/>
      <c r="R128" s="443"/>
      <c r="S128" s="442"/>
      <c r="T128" s="443"/>
      <c r="U128" s="444"/>
      <c r="V128" s="447"/>
    </row>
    <row r="129" spans="1:22">
      <c r="A129" s="478"/>
      <c r="B129" s="449" t="s">
        <v>254</v>
      </c>
      <c r="C129" s="449"/>
      <c r="D129" s="449"/>
      <c r="E129" s="471" t="b">
        <v>0</v>
      </c>
      <c r="F129" s="471"/>
      <c r="G129" s="149"/>
      <c r="H129" s="443"/>
      <c r="I129" s="443"/>
      <c r="J129" s="443"/>
      <c r="K129" s="443"/>
      <c r="L129" s="443"/>
      <c r="M129" s="443"/>
      <c r="N129" s="444"/>
      <c r="O129" s="443"/>
      <c r="P129" s="444"/>
      <c r="Q129" s="444"/>
      <c r="R129" s="443"/>
      <c r="S129" s="442"/>
      <c r="T129" s="443"/>
      <c r="U129" s="444"/>
      <c r="V129" s="447"/>
    </row>
    <row r="130" spans="1:22">
      <c r="A130" s="478"/>
      <c r="B130" s="449" t="s">
        <v>255</v>
      </c>
      <c r="C130" s="449"/>
      <c r="D130" s="449"/>
      <c r="E130" s="471" t="b">
        <v>0</v>
      </c>
      <c r="F130" s="471"/>
      <c r="G130" s="149"/>
      <c r="H130" s="443"/>
      <c r="I130" s="443"/>
      <c r="J130" s="443"/>
      <c r="K130" s="443"/>
      <c r="L130" s="443"/>
      <c r="M130" s="443"/>
      <c r="N130" s="444"/>
      <c r="O130" s="443"/>
      <c r="P130" s="444"/>
      <c r="Q130" s="444"/>
      <c r="R130" s="443"/>
      <c r="S130" s="442"/>
      <c r="T130" s="443"/>
      <c r="U130" s="444"/>
      <c r="V130" s="447"/>
    </row>
    <row r="131" spans="1:22" ht="15">
      <c r="A131" s="478"/>
      <c r="B131" s="472" t="s">
        <v>256</v>
      </c>
      <c r="C131" s="472"/>
      <c r="D131" s="472"/>
      <c r="E131" s="472"/>
      <c r="F131" s="472"/>
      <c r="G131" s="472"/>
      <c r="H131" s="443"/>
      <c r="I131" s="443"/>
      <c r="J131" s="443"/>
      <c r="K131" s="443"/>
      <c r="L131" s="443"/>
      <c r="M131" s="443"/>
      <c r="N131" s="444"/>
      <c r="O131" s="443"/>
      <c r="P131" s="444"/>
      <c r="Q131" s="444"/>
      <c r="R131" s="443"/>
      <c r="S131" s="442"/>
      <c r="T131" s="443"/>
      <c r="U131" s="444"/>
      <c r="V131" s="447"/>
    </row>
    <row r="132" spans="1:22">
      <c r="A132" s="478"/>
      <c r="B132" s="449" t="s">
        <v>257</v>
      </c>
      <c r="C132" s="449"/>
      <c r="D132" s="449"/>
      <c r="E132" s="471" t="b">
        <v>0</v>
      </c>
      <c r="F132" s="471"/>
      <c r="G132" s="149"/>
      <c r="H132" s="443"/>
      <c r="I132" s="443"/>
      <c r="J132" s="443"/>
      <c r="K132" s="443"/>
      <c r="L132" s="443"/>
      <c r="M132" s="443"/>
      <c r="N132" s="444"/>
      <c r="O132" s="443"/>
      <c r="P132" s="444"/>
      <c r="Q132" s="444"/>
      <c r="R132" s="443"/>
      <c r="S132" s="442"/>
      <c r="T132" s="443"/>
      <c r="U132" s="444"/>
      <c r="V132" s="447"/>
    </row>
    <row r="133" spans="1:22">
      <c r="A133" s="478"/>
      <c r="B133" s="449" t="s">
        <v>258</v>
      </c>
      <c r="C133" s="449"/>
      <c r="D133" s="449"/>
      <c r="E133" s="471" t="b">
        <v>0</v>
      </c>
      <c r="F133" s="471"/>
      <c r="G133" s="149"/>
      <c r="H133" s="443"/>
      <c r="I133" s="443"/>
      <c r="J133" s="443"/>
      <c r="K133" s="443"/>
      <c r="L133" s="443"/>
      <c r="M133" s="443"/>
      <c r="N133" s="444"/>
      <c r="O133" s="443"/>
      <c r="P133" s="444"/>
      <c r="Q133" s="444"/>
      <c r="R133" s="443"/>
      <c r="S133" s="442"/>
      <c r="T133" s="443"/>
      <c r="U133" s="444"/>
      <c r="V133" s="447"/>
    </row>
    <row r="134" spans="1:22" ht="15" customHeight="1">
      <c r="A134" s="478">
        <v>8</v>
      </c>
      <c r="B134" s="451" t="s">
        <v>259</v>
      </c>
      <c r="C134" s="451"/>
      <c r="D134" s="451"/>
      <c r="E134" s="457" t="s">
        <v>420</v>
      </c>
      <c r="F134" s="457"/>
      <c r="G134" s="146"/>
      <c r="H134" s="443" t="str">
        <f>'P3 Data Security'!I51</f>
        <v/>
      </c>
      <c r="I134" s="443" t="str">
        <f>'P3 Data Security'!J51</f>
        <v/>
      </c>
      <c r="J134" s="443" t="str">
        <f>'P3 Data Security'!K51</f>
        <v/>
      </c>
      <c r="K134" s="443" t="str">
        <f>'P3 Data Security'!L51</f>
        <v/>
      </c>
      <c r="L134" s="443" t="str">
        <f>'P3 Data Security'!M51</f>
        <v/>
      </c>
      <c r="M134" s="443" t="str">
        <f>'P3 Data Security'!N51</f>
        <v/>
      </c>
      <c r="N134" s="444" t="s">
        <v>388</v>
      </c>
      <c r="O134" s="443" t="s">
        <v>463</v>
      </c>
      <c r="P134" s="444" t="s">
        <v>390</v>
      </c>
      <c r="Q134" s="444" t="s">
        <v>391</v>
      </c>
      <c r="R134" s="443" t="s">
        <v>464</v>
      </c>
      <c r="S134" s="442"/>
      <c r="T134" s="442">
        <v>90</v>
      </c>
      <c r="U134" s="445" t="s">
        <v>394</v>
      </c>
      <c r="V134" s="446" t="s">
        <v>395</v>
      </c>
    </row>
    <row r="135" spans="1:22" ht="15">
      <c r="A135" s="478"/>
      <c r="B135" s="472" t="s">
        <v>260</v>
      </c>
      <c r="C135" s="472"/>
      <c r="D135" s="472"/>
      <c r="E135" s="472"/>
      <c r="F135" s="472"/>
      <c r="G135" s="472"/>
      <c r="H135" s="443"/>
      <c r="I135" s="443"/>
      <c r="J135" s="443"/>
      <c r="K135" s="443"/>
      <c r="L135" s="443"/>
      <c r="M135" s="443"/>
      <c r="N135" s="444"/>
      <c r="O135" s="443"/>
      <c r="P135" s="444"/>
      <c r="Q135" s="444"/>
      <c r="R135" s="443"/>
      <c r="S135" s="442"/>
      <c r="T135" s="442"/>
      <c r="U135" s="444"/>
      <c r="V135" s="447"/>
    </row>
    <row r="136" spans="1:22">
      <c r="A136" s="478"/>
      <c r="B136" s="449" t="s">
        <v>261</v>
      </c>
      <c r="C136" s="449"/>
      <c r="D136" s="449"/>
      <c r="E136" s="471" t="b">
        <v>0</v>
      </c>
      <c r="F136" s="471"/>
      <c r="G136" s="149"/>
      <c r="H136" s="443"/>
      <c r="I136" s="443"/>
      <c r="J136" s="443"/>
      <c r="K136" s="443"/>
      <c r="L136" s="443"/>
      <c r="M136" s="443"/>
      <c r="N136" s="444"/>
      <c r="O136" s="443"/>
      <c r="P136" s="444"/>
      <c r="Q136" s="444"/>
      <c r="R136" s="443"/>
      <c r="S136" s="442"/>
      <c r="T136" s="442"/>
      <c r="U136" s="444"/>
      <c r="V136" s="447"/>
    </row>
    <row r="137" spans="1:22">
      <c r="A137" s="478"/>
      <c r="B137" s="449" t="s">
        <v>262</v>
      </c>
      <c r="C137" s="449"/>
      <c r="D137" s="449"/>
      <c r="E137" s="471" t="b">
        <v>0</v>
      </c>
      <c r="F137" s="471"/>
      <c r="G137" s="149"/>
      <c r="H137" s="443"/>
      <c r="I137" s="443"/>
      <c r="J137" s="443"/>
      <c r="K137" s="443"/>
      <c r="L137" s="443"/>
      <c r="M137" s="443"/>
      <c r="N137" s="444"/>
      <c r="O137" s="443"/>
      <c r="P137" s="444"/>
      <c r="Q137" s="444"/>
      <c r="R137" s="443"/>
      <c r="S137" s="442"/>
      <c r="T137" s="442"/>
      <c r="U137" s="444"/>
      <c r="V137" s="447"/>
    </row>
    <row r="138" spans="1:22">
      <c r="A138" s="478"/>
      <c r="B138" s="449" t="s">
        <v>263</v>
      </c>
      <c r="C138" s="449"/>
      <c r="D138" s="449"/>
      <c r="E138" s="471" t="b">
        <v>0</v>
      </c>
      <c r="F138" s="471"/>
      <c r="G138" s="149"/>
      <c r="H138" s="443"/>
      <c r="I138" s="443"/>
      <c r="J138" s="443"/>
      <c r="K138" s="443"/>
      <c r="L138" s="443"/>
      <c r="M138" s="443"/>
      <c r="N138" s="444"/>
      <c r="O138" s="443"/>
      <c r="P138" s="444"/>
      <c r="Q138" s="444"/>
      <c r="R138" s="443"/>
      <c r="S138" s="442"/>
      <c r="T138" s="442"/>
      <c r="U138" s="444"/>
      <c r="V138" s="447"/>
    </row>
    <row r="139" spans="1:22" ht="15">
      <c r="A139" s="478"/>
      <c r="B139" s="473" t="s">
        <v>264</v>
      </c>
      <c r="C139" s="473"/>
      <c r="D139" s="473"/>
      <c r="E139" s="473"/>
      <c r="F139" s="473"/>
      <c r="G139" s="473"/>
      <c r="H139" s="443"/>
      <c r="I139" s="443"/>
      <c r="J139" s="443"/>
      <c r="K139" s="443"/>
      <c r="L139" s="443"/>
      <c r="M139" s="443"/>
      <c r="N139" s="444"/>
      <c r="O139" s="443"/>
      <c r="P139" s="444"/>
      <c r="Q139" s="444"/>
      <c r="R139" s="443"/>
      <c r="S139" s="442"/>
      <c r="T139" s="442"/>
      <c r="U139" s="444"/>
      <c r="V139" s="447"/>
    </row>
    <row r="140" spans="1:22">
      <c r="A140" s="478"/>
      <c r="B140" s="470" t="s">
        <v>265</v>
      </c>
      <c r="C140" s="470"/>
      <c r="D140" s="470"/>
      <c r="E140" s="471" t="b">
        <v>0</v>
      </c>
      <c r="F140" s="471"/>
      <c r="G140" s="149"/>
      <c r="H140" s="443"/>
      <c r="I140" s="443"/>
      <c r="J140" s="443"/>
      <c r="K140" s="443"/>
      <c r="L140" s="443"/>
      <c r="M140" s="443"/>
      <c r="N140" s="444"/>
      <c r="O140" s="443"/>
      <c r="P140" s="444"/>
      <c r="Q140" s="444"/>
      <c r="R140" s="443"/>
      <c r="S140" s="442"/>
      <c r="T140" s="442"/>
      <c r="U140" s="444"/>
      <c r="V140" s="447"/>
    </row>
    <row r="141" spans="1:22">
      <c r="A141" s="478"/>
      <c r="B141" s="470" t="s">
        <v>266</v>
      </c>
      <c r="C141" s="470"/>
      <c r="D141" s="470"/>
      <c r="E141" s="471" t="b">
        <v>0</v>
      </c>
      <c r="F141" s="471"/>
      <c r="G141" s="149"/>
      <c r="H141" s="443"/>
      <c r="I141" s="443"/>
      <c r="J141" s="443"/>
      <c r="K141" s="443"/>
      <c r="L141" s="443"/>
      <c r="M141" s="443"/>
      <c r="N141" s="444"/>
      <c r="O141" s="443"/>
      <c r="P141" s="444"/>
      <c r="Q141" s="444"/>
      <c r="R141" s="443"/>
      <c r="S141" s="442"/>
      <c r="T141" s="442"/>
      <c r="U141" s="444"/>
      <c r="V141" s="447"/>
    </row>
    <row r="142" spans="1:22">
      <c r="A142" s="478"/>
      <c r="B142" s="470" t="s">
        <v>267</v>
      </c>
      <c r="C142" s="470"/>
      <c r="D142" s="470"/>
      <c r="E142" s="471" t="b">
        <v>0</v>
      </c>
      <c r="F142" s="471"/>
      <c r="G142" s="149"/>
      <c r="H142" s="443"/>
      <c r="I142" s="443"/>
      <c r="J142" s="443"/>
      <c r="K142" s="443"/>
      <c r="L142" s="443"/>
      <c r="M142" s="443"/>
      <c r="N142" s="444"/>
      <c r="O142" s="443"/>
      <c r="P142" s="444"/>
      <c r="Q142" s="444"/>
      <c r="R142" s="443"/>
      <c r="S142" s="442"/>
      <c r="T142" s="442"/>
      <c r="U142" s="444"/>
      <c r="V142" s="447"/>
    </row>
    <row r="143" spans="1:22">
      <c r="A143" s="478"/>
      <c r="B143" s="470" t="s">
        <v>268</v>
      </c>
      <c r="C143" s="470"/>
      <c r="D143" s="470"/>
      <c r="E143" s="471" t="b">
        <v>0</v>
      </c>
      <c r="F143" s="471"/>
      <c r="G143" s="149"/>
      <c r="H143" s="443"/>
      <c r="I143" s="443"/>
      <c r="J143" s="443"/>
      <c r="K143" s="443"/>
      <c r="L143" s="443"/>
      <c r="M143" s="443"/>
      <c r="N143" s="444"/>
      <c r="O143" s="443"/>
      <c r="P143" s="444"/>
      <c r="Q143" s="444"/>
      <c r="R143" s="443"/>
      <c r="S143" s="442"/>
      <c r="T143" s="442"/>
      <c r="U143" s="444"/>
      <c r="V143" s="447"/>
    </row>
    <row r="144" spans="1:22">
      <c r="A144" s="478"/>
      <c r="B144" s="470" t="s">
        <v>269</v>
      </c>
      <c r="C144" s="470"/>
      <c r="D144" s="470"/>
      <c r="E144" s="471" t="b">
        <v>0</v>
      </c>
      <c r="F144" s="471"/>
      <c r="G144" s="149"/>
      <c r="H144" s="443"/>
      <c r="I144" s="443"/>
      <c r="J144" s="443"/>
      <c r="K144" s="443"/>
      <c r="L144" s="443"/>
      <c r="M144" s="443"/>
      <c r="N144" s="444"/>
      <c r="O144" s="443"/>
      <c r="P144" s="444"/>
      <c r="Q144" s="444"/>
      <c r="R144" s="443"/>
      <c r="S144" s="442"/>
      <c r="T144" s="442"/>
      <c r="U144" s="444"/>
      <c r="V144" s="447"/>
    </row>
    <row r="145" spans="1:22">
      <c r="A145" s="478"/>
      <c r="B145" s="470" t="s">
        <v>270</v>
      </c>
      <c r="C145" s="470"/>
      <c r="D145" s="470"/>
      <c r="E145" s="470"/>
      <c r="F145" s="470"/>
      <c r="G145" s="470"/>
      <c r="H145" s="443"/>
      <c r="I145" s="443"/>
      <c r="J145" s="443"/>
      <c r="K145" s="443"/>
      <c r="L145" s="443"/>
      <c r="M145" s="443"/>
      <c r="N145" s="444"/>
      <c r="O145" s="443"/>
      <c r="P145" s="444"/>
      <c r="Q145" s="444"/>
      <c r="R145" s="443"/>
      <c r="S145" s="442"/>
      <c r="T145" s="442"/>
      <c r="U145" s="444"/>
      <c r="V145" s="447"/>
    </row>
    <row r="146" spans="1:22" ht="15">
      <c r="A146" s="478"/>
      <c r="B146" s="473" t="s">
        <v>271</v>
      </c>
      <c r="C146" s="473"/>
      <c r="D146" s="473"/>
      <c r="E146" s="473"/>
      <c r="F146" s="473"/>
      <c r="G146" s="473"/>
      <c r="H146" s="443"/>
      <c r="I146" s="443"/>
      <c r="J146" s="443"/>
      <c r="K146" s="443"/>
      <c r="L146" s="443"/>
      <c r="M146" s="443"/>
      <c r="N146" s="444"/>
      <c r="O146" s="443"/>
      <c r="P146" s="444"/>
      <c r="Q146" s="444"/>
      <c r="R146" s="443"/>
      <c r="S146" s="442"/>
      <c r="T146" s="442"/>
      <c r="U146" s="444"/>
      <c r="V146" s="447"/>
    </row>
    <row r="147" spans="1:22">
      <c r="A147" s="478"/>
      <c r="B147" s="470" t="s">
        <v>272</v>
      </c>
      <c r="C147" s="470"/>
      <c r="D147" s="470"/>
      <c r="E147" s="471" t="b">
        <v>0</v>
      </c>
      <c r="F147" s="471"/>
      <c r="G147" s="163"/>
      <c r="H147" s="443"/>
      <c r="I147" s="443"/>
      <c r="J147" s="443"/>
      <c r="K147" s="443"/>
      <c r="L147" s="443"/>
      <c r="M147" s="443"/>
      <c r="N147" s="444"/>
      <c r="O147" s="443"/>
      <c r="P147" s="444"/>
      <c r="Q147" s="444"/>
      <c r="R147" s="443"/>
      <c r="S147" s="442"/>
      <c r="T147" s="442"/>
      <c r="U147" s="444"/>
      <c r="V147" s="447"/>
    </row>
    <row r="148" spans="1:22">
      <c r="A148" s="478"/>
      <c r="B148" s="470" t="s">
        <v>273</v>
      </c>
      <c r="C148" s="470"/>
      <c r="D148" s="470"/>
      <c r="E148" s="471" t="b">
        <v>0</v>
      </c>
      <c r="F148" s="471"/>
      <c r="G148" s="163"/>
      <c r="H148" s="443"/>
      <c r="I148" s="443"/>
      <c r="J148" s="443"/>
      <c r="K148" s="443"/>
      <c r="L148" s="443"/>
      <c r="M148" s="443"/>
      <c r="N148" s="444"/>
      <c r="O148" s="443"/>
      <c r="P148" s="444"/>
      <c r="Q148" s="444"/>
      <c r="R148" s="443"/>
      <c r="S148" s="442"/>
      <c r="T148" s="442"/>
      <c r="U148" s="444"/>
      <c r="V148" s="447"/>
    </row>
    <row r="149" spans="1:22">
      <c r="A149" s="478"/>
      <c r="B149" s="470" t="s">
        <v>274</v>
      </c>
      <c r="C149" s="470"/>
      <c r="D149" s="470"/>
      <c r="E149" s="471" t="b">
        <v>0</v>
      </c>
      <c r="F149" s="471"/>
      <c r="G149" s="163"/>
      <c r="H149" s="443"/>
      <c r="I149" s="443"/>
      <c r="J149" s="443"/>
      <c r="K149" s="443"/>
      <c r="L149" s="443"/>
      <c r="M149" s="443"/>
      <c r="N149" s="444"/>
      <c r="O149" s="443"/>
      <c r="P149" s="444"/>
      <c r="Q149" s="444"/>
      <c r="R149" s="443"/>
      <c r="S149" s="442"/>
      <c r="T149" s="442"/>
      <c r="U149" s="444"/>
      <c r="V149" s="447"/>
    </row>
    <row r="150" spans="1:22">
      <c r="A150" s="478"/>
      <c r="B150" s="470" t="s">
        <v>275</v>
      </c>
      <c r="C150" s="470"/>
      <c r="D150" s="470"/>
      <c r="E150" s="471" t="b">
        <v>0</v>
      </c>
      <c r="F150" s="471"/>
      <c r="G150" s="163"/>
      <c r="H150" s="443"/>
      <c r="I150" s="443"/>
      <c r="J150" s="443"/>
      <c r="K150" s="443"/>
      <c r="L150" s="443"/>
      <c r="M150" s="443"/>
      <c r="N150" s="444"/>
      <c r="O150" s="443"/>
      <c r="P150" s="444"/>
      <c r="Q150" s="444"/>
      <c r="R150" s="443"/>
      <c r="S150" s="442"/>
      <c r="T150" s="442"/>
      <c r="U150" s="444"/>
      <c r="V150" s="447"/>
    </row>
    <row r="151" spans="1:22">
      <c r="A151" s="478"/>
      <c r="B151" s="470" t="s">
        <v>276</v>
      </c>
      <c r="C151" s="470"/>
      <c r="D151" s="470"/>
      <c r="E151" s="471" t="b">
        <v>0</v>
      </c>
      <c r="F151" s="471"/>
      <c r="G151" s="163"/>
      <c r="H151" s="443"/>
      <c r="I151" s="443"/>
      <c r="J151" s="443"/>
      <c r="K151" s="443"/>
      <c r="L151" s="443"/>
      <c r="M151" s="443"/>
      <c r="N151" s="444"/>
      <c r="O151" s="443"/>
      <c r="P151" s="444"/>
      <c r="Q151" s="444"/>
      <c r="R151" s="443"/>
      <c r="S151" s="442"/>
      <c r="T151" s="442"/>
      <c r="U151" s="444"/>
      <c r="V151" s="447"/>
    </row>
    <row r="152" spans="1:22">
      <c r="A152" s="478"/>
      <c r="B152" s="470" t="s">
        <v>277</v>
      </c>
      <c r="C152" s="470"/>
      <c r="D152" s="470"/>
      <c r="E152" s="471" t="b">
        <v>0</v>
      </c>
      <c r="F152" s="471"/>
      <c r="G152" s="163"/>
      <c r="H152" s="443"/>
      <c r="I152" s="443"/>
      <c r="J152" s="443"/>
      <c r="K152" s="443"/>
      <c r="L152" s="443"/>
      <c r="M152" s="443"/>
      <c r="N152" s="444"/>
      <c r="O152" s="443"/>
      <c r="P152" s="444"/>
      <c r="Q152" s="444"/>
      <c r="R152" s="443"/>
      <c r="S152" s="442"/>
      <c r="T152" s="442"/>
      <c r="U152" s="444"/>
      <c r="V152" s="447"/>
    </row>
    <row r="153" spans="1:22" ht="15">
      <c r="A153" s="478"/>
      <c r="B153" s="473" t="s">
        <v>278</v>
      </c>
      <c r="C153" s="473"/>
      <c r="D153" s="473"/>
      <c r="E153" s="473"/>
      <c r="F153" s="473"/>
      <c r="G153" s="473"/>
      <c r="H153" s="443"/>
      <c r="I153" s="443"/>
      <c r="J153" s="443"/>
      <c r="K153" s="443"/>
      <c r="L153" s="443"/>
      <c r="M153" s="443"/>
      <c r="N153" s="444"/>
      <c r="O153" s="443"/>
      <c r="P153" s="444"/>
      <c r="Q153" s="444"/>
      <c r="R153" s="443"/>
      <c r="S153" s="442"/>
      <c r="T153" s="442"/>
      <c r="U153" s="444"/>
      <c r="V153" s="447"/>
    </row>
    <row r="154" spans="1:22">
      <c r="A154" s="478"/>
      <c r="B154" s="470" t="s">
        <v>279</v>
      </c>
      <c r="C154" s="470"/>
      <c r="D154" s="470"/>
      <c r="E154" s="471" t="b">
        <v>0</v>
      </c>
      <c r="F154" s="471" t="b">
        <v>0</v>
      </c>
      <c r="G154" s="163"/>
      <c r="H154" s="443"/>
      <c r="I154" s="443"/>
      <c r="J154" s="443"/>
      <c r="K154" s="443"/>
      <c r="L154" s="443"/>
      <c r="M154" s="443"/>
      <c r="N154" s="444"/>
      <c r="O154" s="443"/>
      <c r="P154" s="444"/>
      <c r="Q154" s="444"/>
      <c r="R154" s="443"/>
      <c r="S154" s="442"/>
      <c r="T154" s="442"/>
      <c r="U154" s="444"/>
      <c r="V154" s="447"/>
    </row>
    <row r="155" spans="1:22">
      <c r="A155" s="478"/>
      <c r="B155" s="470" t="s">
        <v>280</v>
      </c>
      <c r="C155" s="470"/>
      <c r="D155" s="470"/>
      <c r="E155" s="471" t="b">
        <v>0</v>
      </c>
      <c r="F155" s="471" t="b">
        <v>0</v>
      </c>
      <c r="G155" s="163"/>
      <c r="H155" s="443"/>
      <c r="I155" s="443"/>
      <c r="J155" s="443"/>
      <c r="K155" s="443"/>
      <c r="L155" s="443"/>
      <c r="M155" s="443"/>
      <c r="N155" s="444"/>
      <c r="O155" s="443"/>
      <c r="P155" s="444"/>
      <c r="Q155" s="444"/>
      <c r="R155" s="443"/>
      <c r="S155" s="442"/>
      <c r="T155" s="442"/>
      <c r="U155" s="444"/>
      <c r="V155" s="447"/>
    </row>
    <row r="156" spans="1:22">
      <c r="A156" s="478"/>
      <c r="B156" s="470" t="s">
        <v>281</v>
      </c>
      <c r="C156" s="470"/>
      <c r="D156" s="470"/>
      <c r="E156" s="471" t="b">
        <v>0</v>
      </c>
      <c r="F156" s="471" t="b">
        <v>0</v>
      </c>
      <c r="G156" s="163"/>
      <c r="H156" s="443"/>
      <c r="I156" s="443"/>
      <c r="J156" s="443"/>
      <c r="K156" s="443"/>
      <c r="L156" s="443"/>
      <c r="M156" s="443"/>
      <c r="N156" s="444"/>
      <c r="O156" s="443"/>
      <c r="P156" s="444"/>
      <c r="Q156" s="444"/>
      <c r="R156" s="443"/>
      <c r="S156" s="442"/>
      <c r="T156" s="442"/>
      <c r="U156" s="444"/>
      <c r="V156" s="447"/>
    </row>
    <row r="157" spans="1:22">
      <c r="A157" s="478"/>
      <c r="B157" s="470" t="s">
        <v>282</v>
      </c>
      <c r="C157" s="470"/>
      <c r="D157" s="470"/>
      <c r="E157" s="471" t="b">
        <v>0</v>
      </c>
      <c r="F157" s="471" t="b">
        <v>0</v>
      </c>
      <c r="G157" s="163"/>
      <c r="H157" s="443"/>
      <c r="I157" s="443"/>
      <c r="J157" s="443"/>
      <c r="K157" s="443"/>
      <c r="L157" s="443"/>
      <c r="M157" s="443"/>
      <c r="N157" s="444"/>
      <c r="O157" s="443"/>
      <c r="P157" s="444"/>
      <c r="Q157" s="444"/>
      <c r="R157" s="443"/>
      <c r="S157" s="442"/>
      <c r="T157" s="442"/>
      <c r="U157" s="444"/>
      <c r="V157" s="447"/>
    </row>
    <row r="158" spans="1:22">
      <c r="A158" s="478"/>
      <c r="B158" s="470" t="s">
        <v>283</v>
      </c>
      <c r="C158" s="470"/>
      <c r="D158" s="470"/>
      <c r="E158" s="471" t="b">
        <v>0</v>
      </c>
      <c r="F158" s="471" t="b">
        <v>0</v>
      </c>
      <c r="G158" s="163"/>
      <c r="H158" s="443"/>
      <c r="I158" s="443"/>
      <c r="J158" s="443"/>
      <c r="K158" s="443"/>
      <c r="L158" s="443"/>
      <c r="M158" s="443"/>
      <c r="N158" s="444"/>
      <c r="O158" s="443"/>
      <c r="P158" s="444"/>
      <c r="Q158" s="444"/>
      <c r="R158" s="443"/>
      <c r="S158" s="442"/>
      <c r="T158" s="442"/>
      <c r="U158" s="444"/>
      <c r="V158" s="447"/>
    </row>
    <row r="159" spans="1:22">
      <c r="A159" s="478"/>
      <c r="B159" s="470" t="s">
        <v>284</v>
      </c>
      <c r="C159" s="470"/>
      <c r="D159" s="470"/>
      <c r="E159" s="471" t="b">
        <v>0</v>
      </c>
      <c r="F159" s="471" t="b">
        <v>0</v>
      </c>
      <c r="G159" s="163"/>
      <c r="H159" s="443"/>
      <c r="I159" s="443"/>
      <c r="J159" s="443"/>
      <c r="K159" s="443"/>
      <c r="L159" s="443"/>
      <c r="M159" s="443"/>
      <c r="N159" s="444"/>
      <c r="O159" s="443"/>
      <c r="P159" s="444"/>
      <c r="Q159" s="444"/>
      <c r="R159" s="443"/>
      <c r="S159" s="442"/>
      <c r="T159" s="442"/>
      <c r="U159" s="444"/>
      <c r="V159" s="447"/>
    </row>
    <row r="160" spans="1:22">
      <c r="A160" s="478"/>
      <c r="B160" s="470" t="s">
        <v>285</v>
      </c>
      <c r="C160" s="470"/>
      <c r="D160" s="470"/>
      <c r="E160" s="471" t="b">
        <v>0</v>
      </c>
      <c r="F160" s="471" t="b">
        <v>0</v>
      </c>
      <c r="G160" s="163"/>
      <c r="H160" s="443"/>
      <c r="I160" s="443"/>
      <c r="J160" s="443"/>
      <c r="K160" s="443"/>
      <c r="L160" s="443"/>
      <c r="M160" s="443"/>
      <c r="N160" s="444"/>
      <c r="O160" s="443"/>
      <c r="P160" s="444"/>
      <c r="Q160" s="444"/>
      <c r="R160" s="443"/>
      <c r="S160" s="442"/>
      <c r="T160" s="442"/>
      <c r="U160" s="444"/>
      <c r="V160" s="447"/>
    </row>
    <row r="161" spans="1:22" ht="15">
      <c r="A161" s="478"/>
      <c r="B161" s="475" t="s">
        <v>286</v>
      </c>
      <c r="C161" s="475"/>
      <c r="D161" s="475"/>
      <c r="E161" s="475"/>
      <c r="F161" s="475"/>
      <c r="G161" s="475"/>
      <c r="H161" s="443"/>
      <c r="I161" s="443"/>
      <c r="J161" s="443"/>
      <c r="K161" s="443"/>
      <c r="L161" s="443"/>
      <c r="M161" s="443"/>
      <c r="N161" s="444"/>
      <c r="O161" s="443"/>
      <c r="P161" s="444"/>
      <c r="Q161" s="444"/>
      <c r="R161" s="443"/>
      <c r="S161" s="442"/>
      <c r="T161" s="442"/>
      <c r="U161" s="444"/>
      <c r="V161" s="447"/>
    </row>
    <row r="162" spans="1:22">
      <c r="A162" s="478"/>
      <c r="B162" s="474" t="s">
        <v>287</v>
      </c>
      <c r="C162" s="474"/>
      <c r="D162" s="474"/>
      <c r="E162" s="471" t="b">
        <v>0</v>
      </c>
      <c r="F162" s="471" t="b">
        <v>0</v>
      </c>
      <c r="G162" s="163"/>
      <c r="H162" s="443"/>
      <c r="I162" s="443"/>
      <c r="J162" s="443"/>
      <c r="K162" s="443"/>
      <c r="L162" s="443"/>
      <c r="M162" s="443"/>
      <c r="N162" s="444"/>
      <c r="O162" s="443"/>
      <c r="P162" s="444"/>
      <c r="Q162" s="444"/>
      <c r="R162" s="443"/>
      <c r="S162" s="442"/>
      <c r="T162" s="442"/>
      <c r="U162" s="444"/>
      <c r="V162" s="447"/>
    </row>
    <row r="163" spans="1:22">
      <c r="A163" s="478"/>
      <c r="B163" s="474" t="s">
        <v>288</v>
      </c>
      <c r="C163" s="474"/>
      <c r="D163" s="474"/>
      <c r="E163" s="471" t="b">
        <v>0</v>
      </c>
      <c r="F163" s="471" t="b">
        <v>0</v>
      </c>
      <c r="G163" s="163"/>
      <c r="H163" s="443"/>
      <c r="I163" s="443"/>
      <c r="J163" s="443"/>
      <c r="K163" s="443"/>
      <c r="L163" s="443"/>
      <c r="M163" s="443"/>
      <c r="N163" s="444"/>
      <c r="O163" s="443"/>
      <c r="P163" s="444"/>
      <c r="Q163" s="444"/>
      <c r="R163" s="443"/>
      <c r="S163" s="442"/>
      <c r="T163" s="442"/>
      <c r="U163" s="444"/>
      <c r="V163" s="447"/>
    </row>
    <row r="164" spans="1:22">
      <c r="A164" s="478"/>
      <c r="B164" s="474" t="s">
        <v>289</v>
      </c>
      <c r="C164" s="474"/>
      <c r="D164" s="474"/>
      <c r="E164" s="471" t="b">
        <v>0</v>
      </c>
      <c r="F164" s="471" t="b">
        <v>0</v>
      </c>
      <c r="G164" s="163"/>
      <c r="H164" s="443"/>
      <c r="I164" s="443"/>
      <c r="J164" s="443"/>
      <c r="K164" s="443"/>
      <c r="L164" s="443"/>
      <c r="M164" s="443"/>
      <c r="N164" s="444"/>
      <c r="O164" s="443"/>
      <c r="P164" s="444"/>
      <c r="Q164" s="444"/>
      <c r="R164" s="443"/>
      <c r="S164" s="442"/>
      <c r="T164" s="442"/>
      <c r="U164" s="444"/>
      <c r="V164" s="447"/>
    </row>
    <row r="165" spans="1:22">
      <c r="A165" s="478"/>
      <c r="B165" s="474" t="s">
        <v>290</v>
      </c>
      <c r="C165" s="474"/>
      <c r="D165" s="474"/>
      <c r="E165" s="471" t="b">
        <v>0</v>
      </c>
      <c r="F165" s="471" t="b">
        <v>0</v>
      </c>
      <c r="G165" s="163"/>
      <c r="H165" s="443"/>
      <c r="I165" s="443"/>
      <c r="J165" s="443"/>
      <c r="K165" s="443"/>
      <c r="L165" s="443"/>
      <c r="M165" s="443"/>
      <c r="N165" s="444"/>
      <c r="O165" s="443"/>
      <c r="P165" s="444"/>
      <c r="Q165" s="444"/>
      <c r="R165" s="443"/>
      <c r="S165" s="442"/>
      <c r="T165" s="442"/>
      <c r="U165" s="444"/>
      <c r="V165" s="447"/>
    </row>
    <row r="166" spans="1:22" ht="15">
      <c r="A166" s="478"/>
      <c r="B166" s="476" t="s">
        <v>291</v>
      </c>
      <c r="C166" s="476"/>
      <c r="D166" s="476"/>
      <c r="E166" s="476"/>
      <c r="F166" s="476"/>
      <c r="G166" s="476"/>
      <c r="H166" s="443"/>
      <c r="I166" s="443"/>
      <c r="J166" s="443"/>
      <c r="K166" s="443"/>
      <c r="L166" s="443"/>
      <c r="M166" s="443"/>
      <c r="N166" s="444"/>
      <c r="O166" s="443"/>
      <c r="P166" s="444"/>
      <c r="Q166" s="444"/>
      <c r="R166" s="443"/>
      <c r="S166" s="442"/>
      <c r="T166" s="442"/>
      <c r="U166" s="444"/>
      <c r="V166" s="447"/>
    </row>
    <row r="167" spans="1:22">
      <c r="A167" s="478"/>
      <c r="B167" s="449" t="s">
        <v>292</v>
      </c>
      <c r="C167" s="449"/>
      <c r="D167" s="449"/>
      <c r="E167" s="471" t="b">
        <v>0</v>
      </c>
      <c r="F167" s="471"/>
      <c r="G167" s="149"/>
      <c r="H167" s="443"/>
      <c r="I167" s="443"/>
      <c r="J167" s="443"/>
      <c r="K167" s="443"/>
      <c r="L167" s="443"/>
      <c r="M167" s="443"/>
      <c r="N167" s="444"/>
      <c r="O167" s="443"/>
      <c r="P167" s="444"/>
      <c r="Q167" s="444"/>
      <c r="R167" s="443"/>
      <c r="S167" s="442"/>
      <c r="T167" s="442"/>
      <c r="U167" s="444"/>
      <c r="V167" s="447"/>
    </row>
    <row r="168" spans="1:22">
      <c r="A168" s="478"/>
      <c r="B168" s="449" t="s">
        <v>293</v>
      </c>
      <c r="C168" s="449"/>
      <c r="D168" s="449"/>
      <c r="E168" s="471" t="b">
        <v>0</v>
      </c>
      <c r="F168" s="471"/>
      <c r="G168" s="149"/>
      <c r="H168" s="443"/>
      <c r="I168" s="443"/>
      <c r="J168" s="443"/>
      <c r="K168" s="443"/>
      <c r="L168" s="443"/>
      <c r="M168" s="443"/>
      <c r="N168" s="444"/>
      <c r="O168" s="443"/>
      <c r="P168" s="444"/>
      <c r="Q168" s="444"/>
      <c r="R168" s="443"/>
      <c r="S168" s="442"/>
      <c r="T168" s="442"/>
      <c r="U168" s="444"/>
      <c r="V168" s="447"/>
    </row>
    <row r="169" spans="1:22">
      <c r="A169" s="478"/>
      <c r="B169" s="470" t="s">
        <v>294</v>
      </c>
      <c r="C169" s="449"/>
      <c r="D169" s="449"/>
      <c r="E169" s="471" t="b">
        <v>0</v>
      </c>
      <c r="F169" s="471"/>
      <c r="G169" s="149"/>
      <c r="H169" s="443"/>
      <c r="I169" s="443"/>
      <c r="J169" s="443"/>
      <c r="K169" s="443"/>
      <c r="L169" s="443"/>
      <c r="M169" s="443"/>
      <c r="N169" s="444"/>
      <c r="O169" s="443"/>
      <c r="P169" s="444"/>
      <c r="Q169" s="444"/>
      <c r="R169" s="443"/>
      <c r="S169" s="442"/>
      <c r="T169" s="442"/>
      <c r="U169" s="444"/>
      <c r="V169" s="447"/>
    </row>
    <row r="170" spans="1:22">
      <c r="A170" s="478"/>
      <c r="B170" s="449" t="s">
        <v>295</v>
      </c>
      <c r="C170" s="449"/>
      <c r="D170" s="449"/>
      <c r="E170" s="471" t="b">
        <v>0</v>
      </c>
      <c r="F170" s="471"/>
      <c r="G170" s="149"/>
      <c r="H170" s="443"/>
      <c r="I170" s="443"/>
      <c r="J170" s="443"/>
      <c r="K170" s="443"/>
      <c r="L170" s="443"/>
      <c r="M170" s="443"/>
      <c r="N170" s="444"/>
      <c r="O170" s="443"/>
      <c r="P170" s="444"/>
      <c r="Q170" s="444"/>
      <c r="R170" s="443"/>
      <c r="S170" s="442"/>
      <c r="T170" s="442"/>
      <c r="U170" s="444"/>
      <c r="V170" s="447"/>
    </row>
    <row r="171" spans="1:22">
      <c r="A171" s="478"/>
      <c r="B171" s="449" t="s">
        <v>296</v>
      </c>
      <c r="C171" s="449"/>
      <c r="D171" s="449"/>
      <c r="E171" s="471" t="b">
        <v>0</v>
      </c>
      <c r="F171" s="471"/>
      <c r="G171" s="149"/>
      <c r="H171" s="443"/>
      <c r="I171" s="443"/>
      <c r="J171" s="443"/>
      <c r="K171" s="443"/>
      <c r="L171" s="443"/>
      <c r="M171" s="443"/>
      <c r="N171" s="444"/>
      <c r="O171" s="443"/>
      <c r="P171" s="444"/>
      <c r="Q171" s="444"/>
      <c r="R171" s="443"/>
      <c r="S171" s="442"/>
      <c r="T171" s="442"/>
      <c r="U171" s="444"/>
      <c r="V171" s="447"/>
    </row>
    <row r="172" spans="1:22">
      <c r="A172" s="478"/>
      <c r="B172" s="449" t="s">
        <v>297</v>
      </c>
      <c r="C172" s="449"/>
      <c r="D172" s="449"/>
      <c r="E172" s="471" t="b">
        <v>0</v>
      </c>
      <c r="F172" s="471"/>
      <c r="G172" s="149"/>
      <c r="H172" s="443"/>
      <c r="I172" s="443"/>
      <c r="J172" s="443"/>
      <c r="K172" s="443"/>
      <c r="L172" s="443"/>
      <c r="M172" s="443"/>
      <c r="N172" s="444"/>
      <c r="O172" s="443"/>
      <c r="P172" s="444"/>
      <c r="Q172" s="444"/>
      <c r="R172" s="443"/>
      <c r="S172" s="442"/>
      <c r="T172" s="442"/>
      <c r="U172" s="444"/>
      <c r="V172" s="447"/>
    </row>
    <row r="173" spans="1:22" ht="15">
      <c r="A173" s="478"/>
      <c r="B173" s="476" t="s">
        <v>298</v>
      </c>
      <c r="C173" s="476"/>
      <c r="D173" s="476"/>
      <c r="E173" s="476"/>
      <c r="F173" s="476"/>
      <c r="G173" s="476"/>
      <c r="H173" s="443"/>
      <c r="I173" s="443"/>
      <c r="J173" s="443"/>
      <c r="K173" s="443"/>
      <c r="L173" s="443"/>
      <c r="M173" s="443"/>
      <c r="N173" s="444"/>
      <c r="O173" s="443"/>
      <c r="P173" s="444"/>
      <c r="Q173" s="444"/>
      <c r="R173" s="443"/>
      <c r="S173" s="442"/>
      <c r="T173" s="442"/>
      <c r="U173" s="444"/>
      <c r="V173" s="447"/>
    </row>
    <row r="174" spans="1:22">
      <c r="A174" s="478"/>
      <c r="B174" s="449" t="s">
        <v>299</v>
      </c>
      <c r="C174" s="449"/>
      <c r="D174" s="449"/>
      <c r="E174" s="471" t="b">
        <v>0</v>
      </c>
      <c r="F174" s="471"/>
      <c r="G174" s="149"/>
      <c r="H174" s="443"/>
      <c r="I174" s="443"/>
      <c r="J174" s="443"/>
      <c r="K174" s="443"/>
      <c r="L174" s="443"/>
      <c r="M174" s="443"/>
      <c r="N174" s="444"/>
      <c r="O174" s="443"/>
      <c r="P174" s="444"/>
      <c r="Q174" s="444"/>
      <c r="R174" s="443"/>
      <c r="S174" s="442"/>
      <c r="T174" s="442"/>
      <c r="U174" s="444"/>
      <c r="V174" s="447"/>
    </row>
    <row r="175" spans="1:22">
      <c r="A175" s="478"/>
      <c r="B175" s="449" t="s">
        <v>300</v>
      </c>
      <c r="C175" s="449"/>
      <c r="D175" s="449"/>
      <c r="E175" s="471" t="b">
        <v>0</v>
      </c>
      <c r="F175" s="471"/>
      <c r="G175" s="149"/>
      <c r="H175" s="443"/>
      <c r="I175" s="443"/>
      <c r="J175" s="443"/>
      <c r="K175" s="443"/>
      <c r="L175" s="443"/>
      <c r="M175" s="443"/>
      <c r="N175" s="444"/>
      <c r="O175" s="443"/>
      <c r="P175" s="444"/>
      <c r="Q175" s="444"/>
      <c r="R175" s="443"/>
      <c r="S175" s="442"/>
      <c r="T175" s="442"/>
      <c r="U175" s="444"/>
      <c r="V175" s="447"/>
    </row>
    <row r="176" spans="1:22">
      <c r="A176" s="478"/>
      <c r="B176" s="449" t="s">
        <v>301</v>
      </c>
      <c r="C176" s="449"/>
      <c r="D176" s="449"/>
      <c r="E176" s="471" t="b">
        <v>0</v>
      </c>
      <c r="F176" s="471"/>
      <c r="G176" s="149"/>
      <c r="H176" s="443"/>
      <c r="I176" s="443"/>
      <c r="J176" s="443"/>
      <c r="K176" s="443"/>
      <c r="L176" s="443"/>
      <c r="M176" s="443"/>
      <c r="N176" s="444"/>
      <c r="O176" s="443"/>
      <c r="P176" s="444"/>
      <c r="Q176" s="444"/>
      <c r="R176" s="443"/>
      <c r="S176" s="442"/>
      <c r="T176" s="442"/>
      <c r="U176" s="444"/>
      <c r="V176" s="447"/>
    </row>
    <row r="177" spans="1:22">
      <c r="A177" s="478"/>
      <c r="B177" s="449" t="s">
        <v>302</v>
      </c>
      <c r="C177" s="449"/>
      <c r="D177" s="449"/>
      <c r="E177" s="471" t="b">
        <v>0</v>
      </c>
      <c r="F177" s="471"/>
      <c r="G177" s="149"/>
      <c r="H177" s="443"/>
      <c r="I177" s="443"/>
      <c r="J177" s="443"/>
      <c r="K177" s="443"/>
      <c r="L177" s="443"/>
      <c r="M177" s="443"/>
      <c r="N177" s="444"/>
      <c r="O177" s="443"/>
      <c r="P177" s="444"/>
      <c r="Q177" s="444"/>
      <c r="R177" s="443"/>
      <c r="S177" s="442"/>
      <c r="T177" s="442"/>
      <c r="U177" s="444"/>
      <c r="V177" s="447"/>
    </row>
    <row r="178" spans="1:22">
      <c r="A178" s="478"/>
      <c r="B178" s="449" t="s">
        <v>303</v>
      </c>
      <c r="C178" s="449"/>
      <c r="D178" s="449"/>
      <c r="E178" s="471" t="b">
        <v>0</v>
      </c>
      <c r="F178" s="471"/>
      <c r="G178" s="149"/>
      <c r="H178" s="443"/>
      <c r="I178" s="443"/>
      <c r="J178" s="443"/>
      <c r="K178" s="443"/>
      <c r="L178" s="443"/>
      <c r="M178" s="443"/>
      <c r="N178" s="444"/>
      <c r="O178" s="443"/>
      <c r="P178" s="444"/>
      <c r="Q178" s="444"/>
      <c r="R178" s="443"/>
      <c r="S178" s="442"/>
      <c r="T178" s="442"/>
      <c r="U178" s="444"/>
      <c r="V178" s="447"/>
    </row>
    <row r="179" spans="1:22">
      <c r="A179" s="478"/>
      <c r="B179" s="449" t="s">
        <v>304</v>
      </c>
      <c r="C179" s="449"/>
      <c r="D179" s="449"/>
      <c r="E179" s="471" t="b">
        <v>0</v>
      </c>
      <c r="F179" s="471"/>
      <c r="G179" s="149"/>
      <c r="H179" s="443"/>
      <c r="I179" s="443"/>
      <c r="J179" s="443"/>
      <c r="K179" s="443"/>
      <c r="L179" s="443"/>
      <c r="M179" s="443"/>
      <c r="N179" s="444"/>
      <c r="O179" s="443"/>
      <c r="P179" s="444"/>
      <c r="Q179" s="444"/>
      <c r="R179" s="443"/>
      <c r="S179" s="442"/>
      <c r="T179" s="442"/>
      <c r="U179" s="444"/>
      <c r="V179" s="447"/>
    </row>
    <row r="180" spans="1:22" ht="15">
      <c r="A180" s="478"/>
      <c r="B180" s="476" t="s">
        <v>305</v>
      </c>
      <c r="C180" s="476"/>
      <c r="D180" s="476"/>
      <c r="E180" s="476"/>
      <c r="F180" s="476"/>
      <c r="G180" s="476"/>
      <c r="H180" s="443"/>
      <c r="I180" s="443"/>
      <c r="J180" s="443"/>
      <c r="K180" s="443"/>
      <c r="L180" s="443"/>
      <c r="M180" s="443"/>
      <c r="N180" s="444"/>
      <c r="O180" s="443"/>
      <c r="P180" s="444"/>
      <c r="Q180" s="444"/>
      <c r="R180" s="443"/>
      <c r="S180" s="442"/>
      <c r="T180" s="442"/>
      <c r="U180" s="444"/>
      <c r="V180" s="447"/>
    </row>
    <row r="181" spans="1:22">
      <c r="A181" s="478"/>
      <c r="B181" s="449" t="s">
        <v>306</v>
      </c>
      <c r="C181" s="449"/>
      <c r="D181" s="449"/>
      <c r="E181" s="471" t="b">
        <v>0</v>
      </c>
      <c r="F181" s="471"/>
      <c r="G181" s="149"/>
      <c r="H181" s="443"/>
      <c r="I181" s="443"/>
      <c r="J181" s="443"/>
      <c r="K181" s="443"/>
      <c r="L181" s="443"/>
      <c r="M181" s="443"/>
      <c r="N181" s="444"/>
      <c r="O181" s="443"/>
      <c r="P181" s="444"/>
      <c r="Q181" s="444"/>
      <c r="R181" s="443"/>
      <c r="S181" s="442"/>
      <c r="T181" s="442"/>
      <c r="U181" s="444"/>
      <c r="V181" s="447"/>
    </row>
    <row r="182" spans="1:22">
      <c r="A182" s="478"/>
      <c r="B182" s="449" t="s">
        <v>307</v>
      </c>
      <c r="C182" s="449"/>
      <c r="D182" s="449"/>
      <c r="E182" s="471" t="b">
        <v>0</v>
      </c>
      <c r="F182" s="471"/>
      <c r="G182" s="149"/>
      <c r="H182" s="443"/>
      <c r="I182" s="443"/>
      <c r="J182" s="443"/>
      <c r="K182" s="443"/>
      <c r="L182" s="443"/>
      <c r="M182" s="443"/>
      <c r="N182" s="444"/>
      <c r="O182" s="443"/>
      <c r="P182" s="444"/>
      <c r="Q182" s="444"/>
      <c r="R182" s="443"/>
      <c r="S182" s="442"/>
      <c r="T182" s="442"/>
      <c r="U182" s="444"/>
      <c r="V182" s="447"/>
    </row>
    <row r="183" spans="1:22">
      <c r="A183" s="478"/>
      <c r="B183" s="449" t="s">
        <v>308</v>
      </c>
      <c r="C183" s="449"/>
      <c r="D183" s="449"/>
      <c r="E183" s="471" t="b">
        <v>0</v>
      </c>
      <c r="F183" s="471"/>
      <c r="G183" s="149"/>
      <c r="H183" s="443"/>
      <c r="I183" s="443"/>
      <c r="J183" s="443"/>
      <c r="K183" s="443"/>
      <c r="L183" s="443"/>
      <c r="M183" s="443"/>
      <c r="N183" s="444"/>
      <c r="O183" s="443"/>
      <c r="P183" s="444"/>
      <c r="Q183" s="444"/>
      <c r="R183" s="443"/>
      <c r="S183" s="442"/>
      <c r="T183" s="442"/>
      <c r="U183" s="444"/>
      <c r="V183" s="447"/>
    </row>
    <row r="184" spans="1:22">
      <c r="A184" s="478"/>
      <c r="B184" s="449" t="s">
        <v>309</v>
      </c>
      <c r="C184" s="449"/>
      <c r="D184" s="449"/>
      <c r="E184" s="471" t="b">
        <v>0</v>
      </c>
      <c r="F184" s="471"/>
      <c r="G184" s="149"/>
      <c r="H184" s="443"/>
      <c r="I184" s="443"/>
      <c r="J184" s="443"/>
      <c r="K184" s="443"/>
      <c r="L184" s="443"/>
      <c r="M184" s="443"/>
      <c r="N184" s="444"/>
      <c r="O184" s="443"/>
      <c r="P184" s="444"/>
      <c r="Q184" s="444"/>
      <c r="R184" s="443"/>
      <c r="S184" s="442"/>
      <c r="T184" s="442"/>
      <c r="U184" s="444"/>
      <c r="V184" s="447"/>
    </row>
    <row r="185" spans="1:22">
      <c r="A185" s="478"/>
      <c r="B185" s="449" t="s">
        <v>310</v>
      </c>
      <c r="C185" s="449"/>
      <c r="D185" s="449"/>
      <c r="E185" s="471" t="b">
        <v>0</v>
      </c>
      <c r="F185" s="471"/>
      <c r="G185" s="149"/>
      <c r="H185" s="443"/>
      <c r="I185" s="443"/>
      <c r="J185" s="443"/>
      <c r="K185" s="443"/>
      <c r="L185" s="443"/>
      <c r="M185" s="443"/>
      <c r="N185" s="444"/>
      <c r="O185" s="443"/>
      <c r="P185" s="444"/>
      <c r="Q185" s="444"/>
      <c r="R185" s="443"/>
      <c r="S185" s="442"/>
      <c r="T185" s="442"/>
      <c r="U185" s="444"/>
      <c r="V185" s="447"/>
    </row>
    <row r="186" spans="1:22">
      <c r="A186" s="478"/>
      <c r="B186" s="449" t="s">
        <v>311</v>
      </c>
      <c r="C186" s="449"/>
      <c r="D186" s="449"/>
      <c r="E186" s="471" t="b">
        <v>0</v>
      </c>
      <c r="F186" s="471"/>
      <c r="G186" s="149"/>
      <c r="H186" s="443"/>
      <c r="I186" s="443"/>
      <c r="J186" s="443"/>
      <c r="K186" s="443"/>
      <c r="L186" s="443"/>
      <c r="M186" s="443"/>
      <c r="N186" s="444"/>
      <c r="O186" s="443"/>
      <c r="P186" s="444"/>
      <c r="Q186" s="444"/>
      <c r="R186" s="443"/>
      <c r="S186" s="442"/>
      <c r="T186" s="442"/>
      <c r="U186" s="444"/>
      <c r="V186" s="447"/>
    </row>
    <row r="187" spans="1:22" ht="15" customHeight="1">
      <c r="A187" s="478">
        <v>9</v>
      </c>
      <c r="B187" s="451" t="s">
        <v>312</v>
      </c>
      <c r="C187" s="451"/>
      <c r="D187" s="451"/>
      <c r="E187" s="457" t="s">
        <v>420</v>
      </c>
      <c r="F187" s="457"/>
      <c r="G187" s="146"/>
      <c r="H187" s="443" t="str">
        <f>'P3 Data Security'!I104</f>
        <v/>
      </c>
      <c r="I187" s="443" t="str">
        <f>'P3 Data Security'!J104</f>
        <v/>
      </c>
      <c r="J187" s="443" t="str">
        <f>'P3 Data Security'!K104</f>
        <v/>
      </c>
      <c r="K187" s="443" t="str">
        <f>'P3 Data Security'!L104</f>
        <v/>
      </c>
      <c r="L187" s="443" t="str">
        <f>'P3 Data Security'!M104</f>
        <v/>
      </c>
      <c r="M187" s="443" t="str">
        <f>'P3 Data Security'!N104</f>
        <v/>
      </c>
      <c r="N187" s="444" t="s">
        <v>388</v>
      </c>
      <c r="O187" s="443" t="s">
        <v>465</v>
      </c>
      <c r="P187" s="444" t="s">
        <v>390</v>
      </c>
      <c r="Q187" s="444" t="s">
        <v>391</v>
      </c>
      <c r="R187" s="443" t="s">
        <v>466</v>
      </c>
      <c r="S187" s="442"/>
      <c r="T187" s="442">
        <v>7</v>
      </c>
      <c r="U187" s="445" t="s">
        <v>394</v>
      </c>
      <c r="V187" s="446" t="s">
        <v>395</v>
      </c>
    </row>
    <row r="188" spans="1:22">
      <c r="A188" s="478"/>
      <c r="B188" s="451" t="s">
        <v>313</v>
      </c>
      <c r="C188" s="451"/>
      <c r="D188" s="451"/>
      <c r="E188" s="451"/>
      <c r="F188" s="451"/>
      <c r="G188" s="451"/>
      <c r="H188" s="443"/>
      <c r="I188" s="443"/>
      <c r="J188" s="443"/>
      <c r="K188" s="443"/>
      <c r="L188" s="443"/>
      <c r="M188" s="443"/>
      <c r="N188" s="444"/>
      <c r="O188" s="443"/>
      <c r="P188" s="444"/>
      <c r="Q188" s="444"/>
      <c r="R188" s="443"/>
      <c r="S188" s="442"/>
      <c r="T188" s="442"/>
      <c r="U188" s="444"/>
      <c r="V188" s="447"/>
    </row>
    <row r="189" spans="1:22">
      <c r="A189" s="478"/>
      <c r="B189" s="477" t="s">
        <v>314</v>
      </c>
      <c r="C189" s="477"/>
      <c r="D189" s="477"/>
      <c r="E189" s="471" t="b">
        <v>0</v>
      </c>
      <c r="F189" s="471"/>
      <c r="G189" s="149"/>
      <c r="H189" s="443"/>
      <c r="I189" s="443"/>
      <c r="J189" s="443"/>
      <c r="K189" s="443"/>
      <c r="L189" s="443"/>
      <c r="M189" s="443"/>
      <c r="N189" s="444"/>
      <c r="O189" s="443"/>
      <c r="P189" s="444"/>
      <c r="Q189" s="444"/>
      <c r="R189" s="443"/>
      <c r="S189" s="442"/>
      <c r="T189" s="442"/>
      <c r="U189" s="444"/>
      <c r="V189" s="447"/>
    </row>
    <row r="190" spans="1:22">
      <c r="A190" s="478"/>
      <c r="B190" s="477" t="s">
        <v>315</v>
      </c>
      <c r="C190" s="477"/>
      <c r="D190" s="477"/>
      <c r="E190" s="471" t="b">
        <v>0</v>
      </c>
      <c r="F190" s="471"/>
      <c r="G190" s="149"/>
      <c r="H190" s="443"/>
      <c r="I190" s="443"/>
      <c r="J190" s="443"/>
      <c r="K190" s="443"/>
      <c r="L190" s="443"/>
      <c r="M190" s="443"/>
      <c r="N190" s="444"/>
      <c r="O190" s="443"/>
      <c r="P190" s="444"/>
      <c r="Q190" s="444"/>
      <c r="R190" s="443"/>
      <c r="S190" s="442"/>
      <c r="T190" s="442"/>
      <c r="U190" s="444"/>
      <c r="V190" s="447"/>
    </row>
    <row r="191" spans="1:22">
      <c r="A191" s="478"/>
      <c r="B191" s="477" t="s">
        <v>316</v>
      </c>
      <c r="C191" s="477"/>
      <c r="D191" s="477"/>
      <c r="E191" s="471" t="b">
        <v>0</v>
      </c>
      <c r="F191" s="471"/>
      <c r="G191" s="149"/>
      <c r="H191" s="443"/>
      <c r="I191" s="443"/>
      <c r="J191" s="443"/>
      <c r="K191" s="443"/>
      <c r="L191" s="443"/>
      <c r="M191" s="443"/>
      <c r="N191" s="444"/>
      <c r="O191" s="443"/>
      <c r="P191" s="444"/>
      <c r="Q191" s="444"/>
      <c r="R191" s="443"/>
      <c r="S191" s="442"/>
      <c r="T191" s="442"/>
      <c r="U191" s="444"/>
      <c r="V191" s="447"/>
    </row>
    <row r="192" spans="1:22">
      <c r="A192" s="478"/>
      <c r="B192" s="477" t="s">
        <v>317</v>
      </c>
      <c r="C192" s="477"/>
      <c r="D192" s="477"/>
      <c r="E192" s="471" t="b">
        <v>0</v>
      </c>
      <c r="F192" s="471"/>
      <c r="G192" s="149"/>
      <c r="H192" s="443"/>
      <c r="I192" s="443"/>
      <c r="J192" s="443"/>
      <c r="K192" s="443"/>
      <c r="L192" s="443"/>
      <c r="M192" s="443"/>
      <c r="N192" s="444"/>
      <c r="O192" s="443"/>
      <c r="P192" s="444"/>
      <c r="Q192" s="444"/>
      <c r="R192" s="443"/>
      <c r="S192" s="442"/>
      <c r="T192" s="442"/>
      <c r="U192" s="444"/>
      <c r="V192" s="447"/>
    </row>
    <row r="193" spans="1:22">
      <c r="A193" s="478"/>
      <c r="B193" s="477" t="s">
        <v>318</v>
      </c>
      <c r="C193" s="477"/>
      <c r="D193" s="477"/>
      <c r="E193" s="471" t="b">
        <v>0</v>
      </c>
      <c r="F193" s="471"/>
      <c r="G193" s="149"/>
      <c r="H193" s="443"/>
      <c r="I193" s="443"/>
      <c r="J193" s="443"/>
      <c r="K193" s="443"/>
      <c r="L193" s="443"/>
      <c r="M193" s="443"/>
      <c r="N193" s="444"/>
      <c r="O193" s="443"/>
      <c r="P193" s="444"/>
      <c r="Q193" s="444"/>
      <c r="R193" s="443"/>
      <c r="S193" s="442"/>
      <c r="T193" s="442"/>
      <c r="U193" s="444"/>
      <c r="V193" s="447"/>
    </row>
    <row r="194" spans="1:22" ht="15">
      <c r="A194" s="478"/>
      <c r="B194" s="472" t="s">
        <v>319</v>
      </c>
      <c r="C194" s="472"/>
      <c r="D194" s="472"/>
      <c r="E194" s="472"/>
      <c r="F194" s="472"/>
      <c r="G194" s="472"/>
      <c r="H194" s="443"/>
      <c r="I194" s="443"/>
      <c r="J194" s="443"/>
      <c r="K194" s="443"/>
      <c r="L194" s="443"/>
      <c r="M194" s="443"/>
      <c r="N194" s="444"/>
      <c r="O194" s="443"/>
      <c r="P194" s="444"/>
      <c r="Q194" s="444"/>
      <c r="R194" s="443"/>
      <c r="S194" s="442"/>
      <c r="T194" s="442"/>
      <c r="U194" s="444"/>
      <c r="V194" s="447"/>
    </row>
    <row r="195" spans="1:22">
      <c r="A195" s="478"/>
      <c r="B195" s="449" t="s">
        <v>320</v>
      </c>
      <c r="C195" s="449"/>
      <c r="D195" s="449"/>
      <c r="E195" s="471" t="b">
        <v>0</v>
      </c>
      <c r="F195" s="471"/>
      <c r="G195" s="149"/>
      <c r="H195" s="443"/>
      <c r="I195" s="443"/>
      <c r="J195" s="443"/>
      <c r="K195" s="443"/>
      <c r="L195" s="443"/>
      <c r="M195" s="443"/>
      <c r="N195" s="444"/>
      <c r="O195" s="443"/>
      <c r="P195" s="444"/>
      <c r="Q195" s="444"/>
      <c r="R195" s="443"/>
      <c r="S195" s="442"/>
      <c r="T195" s="442"/>
      <c r="U195" s="444"/>
      <c r="V195" s="447"/>
    </row>
    <row r="196" spans="1:22">
      <c r="A196" s="478"/>
      <c r="B196" s="449" t="s">
        <v>321</v>
      </c>
      <c r="C196" s="449"/>
      <c r="D196" s="449"/>
      <c r="E196" s="471" t="b">
        <v>0</v>
      </c>
      <c r="F196" s="471"/>
      <c r="G196" s="149"/>
      <c r="H196" s="443"/>
      <c r="I196" s="443"/>
      <c r="J196" s="443"/>
      <c r="K196" s="443"/>
      <c r="L196" s="443"/>
      <c r="M196" s="443"/>
      <c r="N196" s="444"/>
      <c r="O196" s="443"/>
      <c r="P196" s="444"/>
      <c r="Q196" s="444"/>
      <c r="R196" s="443"/>
      <c r="S196" s="442"/>
      <c r="T196" s="442"/>
      <c r="U196" s="444"/>
      <c r="V196" s="447"/>
    </row>
    <row r="197" spans="1:22">
      <c r="A197" s="478"/>
      <c r="B197" s="449" t="s">
        <v>322</v>
      </c>
      <c r="C197" s="449"/>
      <c r="D197" s="449"/>
      <c r="E197" s="471" t="b">
        <v>0</v>
      </c>
      <c r="F197" s="471"/>
      <c r="G197" s="149"/>
      <c r="H197" s="443"/>
      <c r="I197" s="443"/>
      <c r="J197" s="443"/>
      <c r="K197" s="443"/>
      <c r="L197" s="443"/>
      <c r="M197" s="443"/>
      <c r="N197" s="444"/>
      <c r="O197" s="443"/>
      <c r="P197" s="444"/>
      <c r="Q197" s="444"/>
      <c r="R197" s="443"/>
      <c r="S197" s="442"/>
      <c r="T197" s="442"/>
      <c r="U197" s="444"/>
      <c r="V197" s="447"/>
    </row>
    <row r="198" spans="1:22">
      <c r="A198" s="478"/>
      <c r="B198" s="449" t="s">
        <v>323</v>
      </c>
      <c r="C198" s="449"/>
      <c r="D198" s="449"/>
      <c r="E198" s="471" t="b">
        <v>0</v>
      </c>
      <c r="F198" s="471"/>
      <c r="G198" s="149"/>
      <c r="H198" s="443"/>
      <c r="I198" s="443"/>
      <c r="J198" s="443"/>
      <c r="K198" s="443"/>
      <c r="L198" s="443"/>
      <c r="M198" s="443"/>
      <c r="N198" s="444"/>
      <c r="O198" s="443"/>
      <c r="P198" s="444"/>
      <c r="Q198" s="444"/>
      <c r="R198" s="443"/>
      <c r="S198" s="442"/>
      <c r="T198" s="442"/>
      <c r="U198" s="444"/>
      <c r="V198" s="447"/>
    </row>
    <row r="199" spans="1:22">
      <c r="A199" s="478"/>
      <c r="B199" s="449" t="s">
        <v>324</v>
      </c>
      <c r="C199" s="449"/>
      <c r="D199" s="449"/>
      <c r="E199" s="471" t="b">
        <v>0</v>
      </c>
      <c r="F199" s="471"/>
      <c r="G199" s="149"/>
      <c r="H199" s="443"/>
      <c r="I199" s="443"/>
      <c r="J199" s="443"/>
      <c r="K199" s="443"/>
      <c r="L199" s="443"/>
      <c r="M199" s="443"/>
      <c r="N199" s="444"/>
      <c r="O199" s="443"/>
      <c r="P199" s="444"/>
      <c r="Q199" s="444"/>
      <c r="R199" s="443"/>
      <c r="S199" s="442"/>
      <c r="T199" s="442"/>
      <c r="U199" s="444"/>
      <c r="V199" s="447"/>
    </row>
    <row r="200" spans="1:22">
      <c r="A200" s="478"/>
      <c r="B200" s="449" t="s">
        <v>325</v>
      </c>
      <c r="C200" s="449"/>
      <c r="D200" s="449"/>
      <c r="E200" s="471" t="b">
        <v>0</v>
      </c>
      <c r="F200" s="471"/>
      <c r="G200" s="149"/>
      <c r="H200" s="443"/>
      <c r="I200" s="443"/>
      <c r="J200" s="443"/>
      <c r="K200" s="443"/>
      <c r="L200" s="443"/>
      <c r="M200" s="443"/>
      <c r="N200" s="444"/>
      <c r="O200" s="443"/>
      <c r="P200" s="444"/>
      <c r="Q200" s="444"/>
      <c r="R200" s="443"/>
      <c r="S200" s="442"/>
      <c r="T200" s="442"/>
      <c r="U200" s="444"/>
      <c r="V200" s="447"/>
    </row>
    <row r="201" spans="1:22">
      <c r="A201" s="478"/>
      <c r="B201" s="449" t="s">
        <v>326</v>
      </c>
      <c r="C201" s="449"/>
      <c r="D201" s="449"/>
      <c r="E201" s="471" t="b">
        <v>0</v>
      </c>
      <c r="F201" s="471"/>
      <c r="G201" s="149"/>
      <c r="H201" s="443"/>
      <c r="I201" s="443"/>
      <c r="J201" s="443"/>
      <c r="K201" s="443"/>
      <c r="L201" s="443"/>
      <c r="M201" s="443"/>
      <c r="N201" s="444"/>
      <c r="O201" s="443"/>
      <c r="P201" s="444"/>
      <c r="Q201" s="444"/>
      <c r="R201" s="443"/>
      <c r="S201" s="442"/>
      <c r="T201" s="442"/>
      <c r="U201" s="444"/>
      <c r="V201" s="447"/>
    </row>
    <row r="202" spans="1:22">
      <c r="A202" s="478"/>
      <c r="B202" s="449" t="s">
        <v>327</v>
      </c>
      <c r="C202" s="449"/>
      <c r="D202" s="449"/>
      <c r="E202" s="471" t="b">
        <v>0</v>
      </c>
      <c r="F202" s="471"/>
      <c r="G202" s="149"/>
      <c r="H202" s="443"/>
      <c r="I202" s="443"/>
      <c r="J202" s="443"/>
      <c r="K202" s="443"/>
      <c r="L202" s="443"/>
      <c r="M202" s="443"/>
      <c r="N202" s="444"/>
      <c r="O202" s="443"/>
      <c r="P202" s="444"/>
      <c r="Q202" s="444"/>
      <c r="R202" s="443"/>
      <c r="S202" s="442"/>
      <c r="T202" s="442"/>
      <c r="U202" s="444"/>
      <c r="V202" s="447"/>
    </row>
    <row r="203" spans="1:22">
      <c r="A203" s="478"/>
      <c r="B203" s="449" t="s">
        <v>328</v>
      </c>
      <c r="C203" s="449"/>
      <c r="D203" s="449"/>
      <c r="E203" s="471" t="b">
        <v>0</v>
      </c>
      <c r="F203" s="471"/>
      <c r="G203" s="149"/>
      <c r="H203" s="443"/>
      <c r="I203" s="443"/>
      <c r="J203" s="443"/>
      <c r="K203" s="443"/>
      <c r="L203" s="443"/>
      <c r="M203" s="443"/>
      <c r="N203" s="444"/>
      <c r="O203" s="443"/>
      <c r="P203" s="444"/>
      <c r="Q203" s="444"/>
      <c r="R203" s="443"/>
      <c r="S203" s="442"/>
      <c r="T203" s="442"/>
      <c r="U203" s="444"/>
      <c r="V203" s="447"/>
    </row>
    <row r="204" spans="1:22" ht="15" customHeight="1">
      <c r="A204" s="478">
        <v>10</v>
      </c>
      <c r="B204" s="451" t="s">
        <v>329</v>
      </c>
      <c r="C204" s="451"/>
      <c r="D204" s="451"/>
      <c r="E204" s="457" t="s">
        <v>420</v>
      </c>
      <c r="F204" s="457"/>
      <c r="G204" s="149"/>
      <c r="H204" s="443" t="str">
        <f>'P3 Data Security'!I121</f>
        <v/>
      </c>
      <c r="I204" s="443" t="str">
        <f>'P3 Data Security'!J121</f>
        <v/>
      </c>
      <c r="J204" s="443" t="str">
        <f>'P3 Data Security'!K121</f>
        <v/>
      </c>
      <c r="K204" s="443" t="str">
        <f>'P3 Data Security'!L121</f>
        <v/>
      </c>
      <c r="L204" s="443" t="str">
        <f>'P3 Data Security'!M121</f>
        <v/>
      </c>
      <c r="M204" s="443" t="str">
        <f>'P3 Data Security'!N121</f>
        <v/>
      </c>
      <c r="N204" s="443" t="s">
        <v>388</v>
      </c>
      <c r="O204" s="443" t="s">
        <v>467</v>
      </c>
      <c r="P204" s="444" t="s">
        <v>390</v>
      </c>
      <c r="Q204" s="444" t="s">
        <v>391</v>
      </c>
      <c r="R204" s="443" t="s">
        <v>468</v>
      </c>
      <c r="S204" s="442"/>
      <c r="T204" s="442">
        <v>7</v>
      </c>
      <c r="U204" s="445" t="s">
        <v>394</v>
      </c>
      <c r="V204" s="446" t="s">
        <v>395</v>
      </c>
    </row>
    <row r="205" spans="1:22">
      <c r="A205" s="478"/>
      <c r="B205" s="477" t="s">
        <v>330</v>
      </c>
      <c r="C205" s="477"/>
      <c r="D205" s="477"/>
      <c r="E205" s="471" t="b">
        <v>0</v>
      </c>
      <c r="F205" s="471"/>
      <c r="G205" s="149"/>
      <c r="H205" s="443"/>
      <c r="I205" s="443"/>
      <c r="J205" s="443"/>
      <c r="K205" s="443"/>
      <c r="L205" s="443"/>
      <c r="M205" s="443"/>
      <c r="N205" s="443"/>
      <c r="O205" s="443"/>
      <c r="P205" s="444"/>
      <c r="Q205" s="444"/>
      <c r="R205" s="443"/>
      <c r="S205" s="442"/>
      <c r="T205" s="442"/>
      <c r="U205" s="444"/>
      <c r="V205" s="447"/>
    </row>
    <row r="206" spans="1:22">
      <c r="A206" s="478"/>
      <c r="B206" s="477" t="s">
        <v>331</v>
      </c>
      <c r="C206" s="477"/>
      <c r="D206" s="477"/>
      <c r="E206" s="471" t="b">
        <v>0</v>
      </c>
      <c r="F206" s="471"/>
      <c r="G206" s="149"/>
      <c r="H206" s="443"/>
      <c r="I206" s="443"/>
      <c r="J206" s="443"/>
      <c r="K206" s="443"/>
      <c r="L206" s="443"/>
      <c r="M206" s="443"/>
      <c r="N206" s="443"/>
      <c r="O206" s="443"/>
      <c r="P206" s="444"/>
      <c r="Q206" s="444"/>
      <c r="R206" s="443"/>
      <c r="S206" s="442"/>
      <c r="T206" s="442"/>
      <c r="U206" s="444"/>
      <c r="V206" s="447"/>
    </row>
    <row r="207" spans="1:22">
      <c r="A207" s="478"/>
      <c r="B207" s="477" t="s">
        <v>332</v>
      </c>
      <c r="C207" s="477"/>
      <c r="D207" s="477"/>
      <c r="E207" s="471" t="b">
        <v>0</v>
      </c>
      <c r="F207" s="471"/>
      <c r="G207" s="149"/>
      <c r="H207" s="443"/>
      <c r="I207" s="443"/>
      <c r="J207" s="443"/>
      <c r="K207" s="443"/>
      <c r="L207" s="443"/>
      <c r="M207" s="443"/>
      <c r="N207" s="443"/>
      <c r="O207" s="443"/>
      <c r="P207" s="444"/>
      <c r="Q207" s="444"/>
      <c r="R207" s="443"/>
      <c r="S207" s="442"/>
      <c r="T207" s="442"/>
      <c r="U207" s="444"/>
      <c r="V207" s="447"/>
    </row>
    <row r="208" spans="1:22">
      <c r="A208" s="478"/>
      <c r="B208" s="477" t="s">
        <v>333</v>
      </c>
      <c r="C208" s="477"/>
      <c r="D208" s="477"/>
      <c r="E208" s="471" t="b">
        <v>0</v>
      </c>
      <c r="F208" s="471"/>
      <c r="G208" s="149"/>
      <c r="H208" s="443"/>
      <c r="I208" s="443"/>
      <c r="J208" s="443"/>
      <c r="K208" s="443"/>
      <c r="L208" s="443"/>
      <c r="M208" s="443"/>
      <c r="N208" s="443"/>
      <c r="O208" s="443"/>
      <c r="P208" s="444"/>
      <c r="Q208" s="444"/>
      <c r="R208" s="443"/>
      <c r="S208" s="442"/>
      <c r="T208" s="442"/>
      <c r="U208" s="444"/>
      <c r="V208" s="447"/>
    </row>
    <row r="209" spans="1:22">
      <c r="A209" s="478"/>
      <c r="B209" s="477" t="s">
        <v>334</v>
      </c>
      <c r="C209" s="477"/>
      <c r="D209" s="477"/>
      <c r="E209" s="471" t="b">
        <v>0</v>
      </c>
      <c r="F209" s="471"/>
      <c r="G209" s="149"/>
      <c r="H209" s="443"/>
      <c r="I209" s="443"/>
      <c r="J209" s="443"/>
      <c r="K209" s="443"/>
      <c r="L209" s="443"/>
      <c r="M209" s="443"/>
      <c r="N209" s="443"/>
      <c r="O209" s="443"/>
      <c r="P209" s="444"/>
      <c r="Q209" s="444"/>
      <c r="R209" s="443"/>
      <c r="S209" s="442"/>
      <c r="T209" s="442"/>
      <c r="U209" s="444"/>
      <c r="V209" s="447"/>
    </row>
    <row r="210" spans="1:22">
      <c r="A210" s="478"/>
      <c r="B210" s="480" t="s">
        <v>335</v>
      </c>
      <c r="C210" s="480"/>
      <c r="D210" s="480"/>
      <c r="E210" s="480"/>
      <c r="F210" s="480"/>
      <c r="G210" s="480"/>
      <c r="H210" s="480"/>
      <c r="I210" s="480"/>
      <c r="J210" s="480"/>
      <c r="K210" s="480"/>
      <c r="L210" s="480"/>
      <c r="M210" s="480"/>
      <c r="N210" s="442"/>
      <c r="O210" s="442"/>
      <c r="P210" s="442"/>
      <c r="Q210" s="442"/>
      <c r="R210" s="442"/>
      <c r="S210" s="442"/>
      <c r="T210" s="442"/>
      <c r="U210" s="442"/>
      <c r="V210" s="442"/>
    </row>
    <row r="211" spans="1:22" ht="33.950000000000003" customHeight="1">
      <c r="A211" s="455" t="s">
        <v>336</v>
      </c>
      <c r="B211" s="455"/>
      <c r="C211" s="455"/>
      <c r="D211" s="455"/>
      <c r="E211" s="455"/>
      <c r="F211" s="455"/>
      <c r="G211" s="455"/>
      <c r="H211" s="455"/>
      <c r="I211" s="455"/>
      <c r="J211" s="455"/>
      <c r="K211" s="455"/>
      <c r="L211" s="455"/>
      <c r="M211" s="455"/>
      <c r="N211" s="442"/>
      <c r="O211" s="442"/>
      <c r="P211" s="442"/>
      <c r="Q211" s="442"/>
      <c r="R211" s="442"/>
      <c r="S211" s="442"/>
      <c r="T211" s="442"/>
      <c r="U211" s="442"/>
      <c r="V211" s="442"/>
    </row>
    <row r="212" spans="1:22" ht="15" customHeight="1">
      <c r="A212" s="478">
        <v>1</v>
      </c>
      <c r="B212" s="451" t="s">
        <v>337</v>
      </c>
      <c r="C212" s="451"/>
      <c r="D212" s="451"/>
      <c r="E212" s="457" t="s">
        <v>420</v>
      </c>
      <c r="F212" s="457"/>
      <c r="G212" s="146"/>
      <c r="H212" s="443" t="str">
        <f>'P3 Data Security'!I129</f>
        <v/>
      </c>
      <c r="I212" s="443" t="str">
        <f>'P3 Data Security'!J129</f>
        <v/>
      </c>
      <c r="J212" s="443" t="str">
        <f>'P3 Data Security'!K129</f>
        <v/>
      </c>
      <c r="K212" s="443" t="str">
        <f>'P3 Data Security'!L129</f>
        <v/>
      </c>
      <c r="L212" s="443" t="str">
        <f>'P3 Data Security'!M129</f>
        <v/>
      </c>
      <c r="M212" s="443" t="str">
        <f>'P3 Data Security'!N129</f>
        <v/>
      </c>
      <c r="N212" s="444" t="s">
        <v>388</v>
      </c>
      <c r="O212" s="443" t="s">
        <v>469</v>
      </c>
      <c r="P212" s="444" t="s">
        <v>390</v>
      </c>
      <c r="Q212" s="444" t="s">
        <v>391</v>
      </c>
      <c r="R212" s="443" t="s">
        <v>470</v>
      </c>
      <c r="S212" s="442"/>
      <c r="T212" s="442">
        <v>90</v>
      </c>
      <c r="U212" s="445" t="s">
        <v>394</v>
      </c>
      <c r="V212" s="446" t="s">
        <v>395</v>
      </c>
    </row>
    <row r="213" spans="1:22">
      <c r="A213" s="478"/>
      <c r="B213" s="477" t="s">
        <v>338</v>
      </c>
      <c r="C213" s="477"/>
      <c r="D213" s="477"/>
      <c r="E213" s="471" t="b">
        <v>0</v>
      </c>
      <c r="F213" s="471"/>
      <c r="G213" s="149"/>
      <c r="H213" s="443"/>
      <c r="I213" s="443"/>
      <c r="J213" s="443"/>
      <c r="K213" s="443"/>
      <c r="L213" s="443"/>
      <c r="M213" s="443"/>
      <c r="N213" s="444"/>
      <c r="O213" s="443"/>
      <c r="P213" s="444"/>
      <c r="Q213" s="444"/>
      <c r="R213" s="443"/>
      <c r="S213" s="442"/>
      <c r="T213" s="442"/>
      <c r="U213" s="444"/>
      <c r="V213" s="447"/>
    </row>
    <row r="214" spans="1:22">
      <c r="A214" s="478"/>
      <c r="B214" s="477" t="s">
        <v>339</v>
      </c>
      <c r="C214" s="477"/>
      <c r="D214" s="477"/>
      <c r="E214" s="471" t="b">
        <v>0</v>
      </c>
      <c r="F214" s="471"/>
      <c r="G214" s="149"/>
      <c r="H214" s="443"/>
      <c r="I214" s="443"/>
      <c r="J214" s="443"/>
      <c r="K214" s="443"/>
      <c r="L214" s="443"/>
      <c r="M214" s="443"/>
      <c r="N214" s="444"/>
      <c r="O214" s="443"/>
      <c r="P214" s="444"/>
      <c r="Q214" s="444"/>
      <c r="R214" s="443"/>
      <c r="S214" s="442"/>
      <c r="T214" s="442"/>
      <c r="U214" s="444"/>
      <c r="V214" s="447"/>
    </row>
    <row r="215" spans="1:22">
      <c r="A215" s="478"/>
      <c r="B215" s="477" t="s">
        <v>340</v>
      </c>
      <c r="C215" s="477"/>
      <c r="D215" s="477"/>
      <c r="E215" s="471" t="b">
        <v>0</v>
      </c>
      <c r="F215" s="471"/>
      <c r="G215" s="149"/>
      <c r="H215" s="443"/>
      <c r="I215" s="443"/>
      <c r="J215" s="443"/>
      <c r="K215" s="443"/>
      <c r="L215" s="443"/>
      <c r="M215" s="443"/>
      <c r="N215" s="444"/>
      <c r="O215" s="443"/>
      <c r="P215" s="444"/>
      <c r="Q215" s="444"/>
      <c r="R215" s="443"/>
      <c r="S215" s="442"/>
      <c r="T215" s="442"/>
      <c r="U215" s="444"/>
      <c r="V215" s="447"/>
    </row>
    <row r="216" spans="1:22">
      <c r="A216" s="478"/>
      <c r="B216" s="477" t="s">
        <v>341</v>
      </c>
      <c r="C216" s="477"/>
      <c r="D216" s="477"/>
      <c r="E216" s="471" t="b">
        <v>0</v>
      </c>
      <c r="F216" s="471"/>
      <c r="G216" s="149"/>
      <c r="H216" s="443"/>
      <c r="I216" s="443"/>
      <c r="J216" s="443"/>
      <c r="K216" s="443"/>
      <c r="L216" s="443"/>
      <c r="M216" s="443"/>
      <c r="N216" s="444"/>
      <c r="O216" s="443"/>
      <c r="P216" s="444"/>
      <c r="Q216" s="444"/>
      <c r="R216" s="443"/>
      <c r="S216" s="442"/>
      <c r="T216" s="442"/>
      <c r="U216" s="444"/>
      <c r="V216" s="447"/>
    </row>
    <row r="217" spans="1:22" ht="99.75">
      <c r="A217" s="144">
        <v>2</v>
      </c>
      <c r="B217" s="454" t="s">
        <v>342</v>
      </c>
      <c r="C217" s="454"/>
      <c r="D217" s="454"/>
      <c r="E217" s="457" t="s">
        <v>420</v>
      </c>
      <c r="F217" s="457"/>
      <c r="G217" s="149"/>
      <c r="H217" s="147" t="str">
        <f>'P3 Data Security'!I134</f>
        <v/>
      </c>
      <c r="I217" s="147" t="str">
        <f>'P3 Data Security'!J134</f>
        <v/>
      </c>
      <c r="J217" s="147" t="str">
        <f>'P3 Data Security'!K134</f>
        <v/>
      </c>
      <c r="K217" s="147" t="str">
        <f>'P3 Data Security'!L134</f>
        <v/>
      </c>
      <c r="L217" s="147" t="str">
        <f>'P3 Data Security'!M134</f>
        <v/>
      </c>
      <c r="M217" s="147" t="str">
        <f>'P3 Data Security'!N134</f>
        <v/>
      </c>
      <c r="N217" s="148" t="s">
        <v>388</v>
      </c>
      <c r="O217" s="147" t="s">
        <v>471</v>
      </c>
      <c r="P217" s="149" t="s">
        <v>390</v>
      </c>
      <c r="Q217" s="148" t="s">
        <v>391</v>
      </c>
      <c r="R217" s="148" t="s">
        <v>472</v>
      </c>
      <c r="S217" s="143"/>
      <c r="T217" s="143">
        <v>30</v>
      </c>
      <c r="U217" s="159" t="s">
        <v>394</v>
      </c>
      <c r="V217" s="153" t="s">
        <v>395</v>
      </c>
    </row>
    <row r="218" spans="1:22" ht="128.25">
      <c r="A218" s="144">
        <v>3</v>
      </c>
      <c r="B218" s="454" t="s">
        <v>343</v>
      </c>
      <c r="C218" s="454"/>
      <c r="D218" s="454"/>
      <c r="E218" s="457" t="s">
        <v>420</v>
      </c>
      <c r="F218" s="457"/>
      <c r="G218" s="149"/>
      <c r="H218" s="147" t="str">
        <f>'P3 Data Security'!I135</f>
        <v/>
      </c>
      <c r="I218" s="147" t="str">
        <f>'P3 Data Security'!J135</f>
        <v/>
      </c>
      <c r="J218" s="147" t="str">
        <f>'P3 Data Security'!K135</f>
        <v/>
      </c>
      <c r="K218" s="147" t="str">
        <f>'P3 Data Security'!L135</f>
        <v/>
      </c>
      <c r="L218" s="147" t="str">
        <f>'P3 Data Security'!M135</f>
        <v/>
      </c>
      <c r="M218" s="147" t="str">
        <f>'P3 Data Security'!N135</f>
        <v/>
      </c>
      <c r="N218" s="148" t="s">
        <v>388</v>
      </c>
      <c r="O218" s="147" t="s">
        <v>473</v>
      </c>
      <c r="P218" s="149" t="s">
        <v>390</v>
      </c>
      <c r="Q218" s="148" t="s">
        <v>391</v>
      </c>
      <c r="R218" s="147" t="s">
        <v>474</v>
      </c>
      <c r="S218" s="143"/>
      <c r="T218" s="143">
        <v>30</v>
      </c>
      <c r="U218" s="159" t="s">
        <v>394</v>
      </c>
      <c r="V218" s="153" t="s">
        <v>395</v>
      </c>
    </row>
    <row r="219" spans="1:22" ht="15" customHeight="1">
      <c r="A219" s="478">
        <v>4</v>
      </c>
      <c r="B219" s="451" t="s">
        <v>344</v>
      </c>
      <c r="C219" s="451"/>
      <c r="D219" s="451"/>
      <c r="E219" s="457" t="s">
        <v>420</v>
      </c>
      <c r="F219" s="457"/>
      <c r="G219" s="146"/>
      <c r="H219" s="443" t="str">
        <f>'P3 Data Security'!I136</f>
        <v/>
      </c>
      <c r="I219" s="443" t="str">
        <f>'P3 Data Security'!J136</f>
        <v/>
      </c>
      <c r="J219" s="443" t="str">
        <f>'P3 Data Security'!K136</f>
        <v/>
      </c>
      <c r="K219" s="443" t="str">
        <f>'P3 Data Security'!L136</f>
        <v/>
      </c>
      <c r="L219" s="443" t="str">
        <f>'P3 Data Security'!M136</f>
        <v/>
      </c>
      <c r="M219" s="443" t="str">
        <f>'P3 Data Security'!N136</f>
        <v/>
      </c>
      <c r="N219" s="444" t="s">
        <v>388</v>
      </c>
      <c r="O219" s="443" t="s">
        <v>475</v>
      </c>
      <c r="P219" s="444" t="s">
        <v>390</v>
      </c>
      <c r="Q219" s="444" t="s">
        <v>391</v>
      </c>
      <c r="R219" s="443" t="s">
        <v>476</v>
      </c>
      <c r="S219" s="442"/>
      <c r="T219" s="443">
        <v>90</v>
      </c>
      <c r="U219" s="445" t="s">
        <v>394</v>
      </c>
      <c r="V219" s="446" t="s">
        <v>395</v>
      </c>
    </row>
    <row r="220" spans="1:22">
      <c r="A220" s="478"/>
      <c r="B220" s="477" t="s">
        <v>345</v>
      </c>
      <c r="C220" s="477"/>
      <c r="D220" s="477"/>
      <c r="E220" s="471" t="b">
        <v>0</v>
      </c>
      <c r="F220" s="471"/>
      <c r="G220" s="149"/>
      <c r="H220" s="443"/>
      <c r="I220" s="443"/>
      <c r="J220" s="443"/>
      <c r="K220" s="443"/>
      <c r="L220" s="443"/>
      <c r="M220" s="443"/>
      <c r="N220" s="444"/>
      <c r="O220" s="443"/>
      <c r="P220" s="444"/>
      <c r="Q220" s="444"/>
      <c r="R220" s="443"/>
      <c r="S220" s="442"/>
      <c r="T220" s="443"/>
      <c r="U220" s="445"/>
      <c r="V220" s="447"/>
    </row>
    <row r="221" spans="1:22">
      <c r="A221" s="478"/>
      <c r="B221" s="477" t="s">
        <v>346</v>
      </c>
      <c r="C221" s="477"/>
      <c r="D221" s="477"/>
      <c r="E221" s="471" t="b">
        <v>0</v>
      </c>
      <c r="F221" s="471"/>
      <c r="G221" s="149"/>
      <c r="H221" s="443"/>
      <c r="I221" s="443"/>
      <c r="J221" s="443"/>
      <c r="K221" s="443"/>
      <c r="L221" s="443"/>
      <c r="M221" s="443"/>
      <c r="N221" s="444"/>
      <c r="O221" s="443"/>
      <c r="P221" s="444"/>
      <c r="Q221" s="444"/>
      <c r="R221" s="443"/>
      <c r="S221" s="442"/>
      <c r="T221" s="443"/>
      <c r="U221" s="445"/>
      <c r="V221" s="447"/>
    </row>
    <row r="222" spans="1:22">
      <c r="A222" s="478"/>
      <c r="B222" s="477" t="s">
        <v>347</v>
      </c>
      <c r="C222" s="477"/>
      <c r="D222" s="477"/>
      <c r="E222" s="471" t="b">
        <v>0</v>
      </c>
      <c r="F222" s="471"/>
      <c r="G222" s="149"/>
      <c r="H222" s="443"/>
      <c r="I222" s="443"/>
      <c r="J222" s="443"/>
      <c r="K222" s="443"/>
      <c r="L222" s="443"/>
      <c r="M222" s="443"/>
      <c r="N222" s="444"/>
      <c r="O222" s="443"/>
      <c r="P222" s="444"/>
      <c r="Q222" s="444"/>
      <c r="R222" s="443"/>
      <c r="S222" s="442"/>
      <c r="T222" s="443"/>
      <c r="U222" s="445"/>
      <c r="V222" s="447"/>
    </row>
    <row r="223" spans="1:22">
      <c r="A223" s="478"/>
      <c r="B223" s="477" t="s">
        <v>348</v>
      </c>
      <c r="C223" s="477"/>
      <c r="D223" s="477"/>
      <c r="E223" s="471" t="b">
        <v>0</v>
      </c>
      <c r="F223" s="471"/>
      <c r="G223" s="149"/>
      <c r="H223" s="443"/>
      <c r="I223" s="443"/>
      <c r="J223" s="443"/>
      <c r="K223" s="443"/>
      <c r="L223" s="443"/>
      <c r="M223" s="443"/>
      <c r="N223" s="444"/>
      <c r="O223" s="443"/>
      <c r="P223" s="444"/>
      <c r="Q223" s="444"/>
      <c r="R223" s="443"/>
      <c r="S223" s="442"/>
      <c r="T223" s="443"/>
      <c r="U223" s="445"/>
      <c r="V223" s="447"/>
    </row>
    <row r="224" spans="1:22">
      <c r="A224" s="478"/>
      <c r="B224" s="477" t="s">
        <v>349</v>
      </c>
      <c r="C224" s="477"/>
      <c r="D224" s="477"/>
      <c r="E224" s="471" t="b">
        <v>0</v>
      </c>
      <c r="F224" s="471"/>
      <c r="G224" s="149"/>
      <c r="H224" s="443"/>
      <c r="I224" s="443"/>
      <c r="J224" s="443"/>
      <c r="K224" s="443"/>
      <c r="L224" s="443"/>
      <c r="M224" s="443"/>
      <c r="N224" s="444"/>
      <c r="O224" s="443"/>
      <c r="P224" s="444"/>
      <c r="Q224" s="444"/>
      <c r="R224" s="443"/>
      <c r="S224" s="442"/>
      <c r="T224" s="443"/>
      <c r="U224" s="445"/>
      <c r="V224" s="447"/>
    </row>
    <row r="225" spans="1:22">
      <c r="A225" s="478"/>
      <c r="B225" s="477" t="s">
        <v>350</v>
      </c>
      <c r="C225" s="477"/>
      <c r="D225" s="477"/>
      <c r="E225" s="471" t="b">
        <v>0</v>
      </c>
      <c r="F225" s="471"/>
      <c r="G225" s="149"/>
      <c r="H225" s="443"/>
      <c r="I225" s="443"/>
      <c r="J225" s="443"/>
      <c r="K225" s="443"/>
      <c r="L225" s="443"/>
      <c r="M225" s="443"/>
      <c r="N225" s="444"/>
      <c r="O225" s="443"/>
      <c r="P225" s="444"/>
      <c r="Q225" s="444"/>
      <c r="R225" s="443"/>
      <c r="S225" s="442"/>
      <c r="T225" s="443"/>
      <c r="U225" s="445"/>
      <c r="V225" s="447"/>
    </row>
    <row r="226" spans="1:22" ht="36.950000000000003" customHeight="1">
      <c r="A226" s="455" t="s">
        <v>351</v>
      </c>
      <c r="B226" s="455"/>
      <c r="C226" s="455"/>
      <c r="D226" s="455"/>
      <c r="E226" s="455"/>
      <c r="F226" s="455"/>
      <c r="G226" s="455"/>
      <c r="H226" s="455"/>
      <c r="I226" s="455"/>
      <c r="J226" s="455"/>
      <c r="K226" s="455"/>
      <c r="L226" s="455"/>
      <c r="M226" s="455"/>
      <c r="N226" s="143"/>
      <c r="O226" s="143"/>
      <c r="P226" s="143"/>
      <c r="Q226" s="143"/>
      <c r="R226" s="143"/>
      <c r="S226" s="143"/>
      <c r="T226" s="143"/>
      <c r="U226" s="148"/>
      <c r="V226" s="149"/>
    </row>
    <row r="227" spans="1:22" ht="15" customHeight="1">
      <c r="A227" s="478">
        <v>1</v>
      </c>
      <c r="B227" s="451" t="s">
        <v>352</v>
      </c>
      <c r="C227" s="451"/>
      <c r="D227" s="451"/>
      <c r="E227" s="457" t="s">
        <v>420</v>
      </c>
      <c r="F227" s="457"/>
      <c r="G227" s="146"/>
      <c r="H227" s="443" t="str">
        <f>'P3 Data Security'!I144</f>
        <v/>
      </c>
      <c r="I227" s="443" t="str">
        <f>'P3 Data Security'!J144</f>
        <v/>
      </c>
      <c r="J227" s="443" t="str">
        <f>'P3 Data Security'!K144</f>
        <v/>
      </c>
      <c r="K227" s="443" t="str">
        <f>'P3 Data Security'!L144</f>
        <v/>
      </c>
      <c r="L227" s="443" t="str">
        <f>'P3 Data Security'!M144</f>
        <v/>
      </c>
      <c r="M227" s="443" t="str">
        <f>'P3 Data Security'!N144</f>
        <v/>
      </c>
      <c r="N227" s="444" t="s">
        <v>388</v>
      </c>
      <c r="O227" s="443" t="s">
        <v>477</v>
      </c>
      <c r="P227" s="444" t="s">
        <v>390</v>
      </c>
      <c r="Q227" s="444" t="s">
        <v>391</v>
      </c>
      <c r="R227" s="443" t="s">
        <v>478</v>
      </c>
      <c r="S227" s="442"/>
      <c r="T227" s="442">
        <v>90</v>
      </c>
      <c r="U227" s="445" t="s">
        <v>394</v>
      </c>
      <c r="V227" s="447" t="s">
        <v>479</v>
      </c>
    </row>
    <row r="228" spans="1:22">
      <c r="A228" s="478"/>
      <c r="B228" s="477" t="s">
        <v>353</v>
      </c>
      <c r="C228" s="477"/>
      <c r="D228" s="477"/>
      <c r="E228" s="471" t="b">
        <v>0</v>
      </c>
      <c r="F228" s="471"/>
      <c r="G228" s="149"/>
      <c r="H228" s="443"/>
      <c r="I228" s="443"/>
      <c r="J228" s="443"/>
      <c r="K228" s="443"/>
      <c r="L228" s="443"/>
      <c r="M228" s="443"/>
      <c r="N228" s="444"/>
      <c r="O228" s="443"/>
      <c r="P228" s="444"/>
      <c r="Q228" s="444"/>
      <c r="R228" s="443"/>
      <c r="S228" s="442"/>
      <c r="T228" s="442"/>
      <c r="U228" s="444"/>
      <c r="V228" s="447"/>
    </row>
    <row r="229" spans="1:22">
      <c r="A229" s="478"/>
      <c r="B229" s="477" t="s">
        <v>354</v>
      </c>
      <c r="C229" s="477"/>
      <c r="D229" s="477"/>
      <c r="E229" s="471" t="b">
        <v>0</v>
      </c>
      <c r="F229" s="471"/>
      <c r="G229" s="149"/>
      <c r="H229" s="443"/>
      <c r="I229" s="443"/>
      <c r="J229" s="443"/>
      <c r="K229" s="443"/>
      <c r="L229" s="443"/>
      <c r="M229" s="443"/>
      <c r="N229" s="444"/>
      <c r="O229" s="443"/>
      <c r="P229" s="444"/>
      <c r="Q229" s="444"/>
      <c r="R229" s="443"/>
      <c r="S229" s="442"/>
      <c r="T229" s="442"/>
      <c r="U229" s="444"/>
      <c r="V229" s="447"/>
    </row>
    <row r="230" spans="1:22">
      <c r="A230" s="478"/>
      <c r="B230" s="477" t="s">
        <v>355</v>
      </c>
      <c r="C230" s="477"/>
      <c r="D230" s="477"/>
      <c r="E230" s="471" t="b">
        <v>0</v>
      </c>
      <c r="F230" s="471"/>
      <c r="G230" s="149"/>
      <c r="H230" s="443"/>
      <c r="I230" s="443"/>
      <c r="J230" s="443"/>
      <c r="K230" s="443"/>
      <c r="L230" s="443"/>
      <c r="M230" s="443"/>
      <c r="N230" s="444"/>
      <c r="O230" s="443"/>
      <c r="P230" s="444"/>
      <c r="Q230" s="444"/>
      <c r="R230" s="443"/>
      <c r="S230" s="442"/>
      <c r="T230" s="442"/>
      <c r="U230" s="444"/>
      <c r="V230" s="447"/>
    </row>
    <row r="231" spans="1:22">
      <c r="A231" s="478"/>
      <c r="B231" s="477" t="s">
        <v>356</v>
      </c>
      <c r="C231" s="477"/>
      <c r="D231" s="477"/>
      <c r="E231" s="471" t="b">
        <v>0</v>
      </c>
      <c r="F231" s="471"/>
      <c r="G231" s="149"/>
      <c r="H231" s="443"/>
      <c r="I231" s="443"/>
      <c r="J231" s="443"/>
      <c r="K231" s="443"/>
      <c r="L231" s="443"/>
      <c r="M231" s="443"/>
      <c r="N231" s="444"/>
      <c r="O231" s="443"/>
      <c r="P231" s="444"/>
      <c r="Q231" s="444"/>
      <c r="R231" s="443"/>
      <c r="S231" s="442"/>
      <c r="T231" s="442"/>
      <c r="U231" s="444"/>
      <c r="V231" s="447"/>
    </row>
    <row r="232" spans="1:22">
      <c r="A232" s="478"/>
      <c r="B232" s="477" t="s">
        <v>357</v>
      </c>
      <c r="C232" s="477"/>
      <c r="D232" s="477"/>
      <c r="E232" s="471" t="b">
        <v>0</v>
      </c>
      <c r="F232" s="471"/>
      <c r="G232" s="149"/>
      <c r="H232" s="443"/>
      <c r="I232" s="443"/>
      <c r="J232" s="443"/>
      <c r="K232" s="443"/>
      <c r="L232" s="443"/>
      <c r="M232" s="443"/>
      <c r="N232" s="444"/>
      <c r="O232" s="443"/>
      <c r="P232" s="444"/>
      <c r="Q232" s="444"/>
      <c r="R232" s="443"/>
      <c r="S232" s="442"/>
      <c r="T232" s="442"/>
      <c r="U232" s="444"/>
      <c r="V232" s="447"/>
    </row>
    <row r="233" spans="1:22">
      <c r="A233" s="478"/>
      <c r="B233" s="477" t="s">
        <v>358</v>
      </c>
      <c r="C233" s="477"/>
      <c r="D233" s="477"/>
      <c r="E233" s="471" t="b">
        <v>0</v>
      </c>
      <c r="F233" s="471"/>
      <c r="G233" s="149"/>
      <c r="H233" s="443"/>
      <c r="I233" s="443"/>
      <c r="J233" s="443"/>
      <c r="K233" s="443"/>
      <c r="L233" s="443"/>
      <c r="M233" s="443"/>
      <c r="N233" s="444"/>
      <c r="O233" s="443"/>
      <c r="P233" s="444"/>
      <c r="Q233" s="444"/>
      <c r="R233" s="443"/>
      <c r="S233" s="442"/>
      <c r="T233" s="442"/>
      <c r="U233" s="444"/>
      <c r="V233" s="447"/>
    </row>
    <row r="234" spans="1:22" ht="246" customHeight="1">
      <c r="A234" s="144">
        <v>2</v>
      </c>
      <c r="B234" s="454" t="s">
        <v>359</v>
      </c>
      <c r="C234" s="454"/>
      <c r="D234" s="454"/>
      <c r="E234" s="457" t="s">
        <v>420</v>
      </c>
      <c r="F234" s="457"/>
      <c r="G234" s="149"/>
      <c r="H234" s="147" t="str">
        <f>'P3 Data Security'!I151</f>
        <v/>
      </c>
      <c r="I234" s="147" t="str">
        <f>'P3 Data Security'!J151</f>
        <v/>
      </c>
      <c r="J234" s="147" t="str">
        <f>'P3 Data Security'!K151</f>
        <v/>
      </c>
      <c r="K234" s="147" t="str">
        <f>'P3 Data Security'!L151</f>
        <v/>
      </c>
      <c r="L234" s="147" t="str">
        <f>'P3 Data Security'!M151</f>
        <v/>
      </c>
      <c r="M234" s="147" t="str">
        <f>'P3 Data Security'!N151</f>
        <v/>
      </c>
      <c r="N234" s="148" t="s">
        <v>388</v>
      </c>
      <c r="O234" s="147" t="s">
        <v>480</v>
      </c>
      <c r="P234" s="149" t="s">
        <v>390</v>
      </c>
      <c r="Q234" s="148" t="s">
        <v>391</v>
      </c>
      <c r="R234" s="147" t="s">
        <v>481</v>
      </c>
      <c r="S234" s="143"/>
      <c r="T234" s="143">
        <v>30</v>
      </c>
      <c r="U234" s="159" t="s">
        <v>394</v>
      </c>
      <c r="V234" s="153" t="s">
        <v>479</v>
      </c>
    </row>
    <row r="235" spans="1:22" ht="204.95" customHeight="1">
      <c r="A235" s="144">
        <v>3</v>
      </c>
      <c r="B235" s="454" t="s">
        <v>361</v>
      </c>
      <c r="C235" s="454"/>
      <c r="D235" s="454"/>
      <c r="E235" s="457" t="s">
        <v>420</v>
      </c>
      <c r="F235" s="457"/>
      <c r="G235" s="149"/>
      <c r="H235" s="147" t="str">
        <f>'P3 Data Security'!I152</f>
        <v/>
      </c>
      <c r="I235" s="147" t="str">
        <f>'P3 Data Security'!J152</f>
        <v/>
      </c>
      <c r="J235" s="147" t="str">
        <f>'P3 Data Security'!K152</f>
        <v/>
      </c>
      <c r="K235" s="147" t="str">
        <f>'P3 Data Security'!L152</f>
        <v/>
      </c>
      <c r="L235" s="147" t="str">
        <f>'P3 Data Security'!M152</f>
        <v/>
      </c>
      <c r="M235" s="147" t="str">
        <f>'P3 Data Security'!N152</f>
        <v/>
      </c>
      <c r="N235" s="148" t="s">
        <v>388</v>
      </c>
      <c r="O235" s="147" t="s">
        <v>482</v>
      </c>
      <c r="P235" s="149" t="s">
        <v>390</v>
      </c>
      <c r="Q235" s="148" t="s">
        <v>391</v>
      </c>
      <c r="R235" s="147" t="s">
        <v>483</v>
      </c>
      <c r="S235" s="143"/>
      <c r="T235" s="143">
        <v>30</v>
      </c>
      <c r="U235" s="159" t="s">
        <v>394</v>
      </c>
      <c r="V235" s="153" t="s">
        <v>479</v>
      </c>
    </row>
    <row r="236" spans="1:22" ht="204" customHeight="1">
      <c r="A236" s="144">
        <v>4</v>
      </c>
      <c r="B236" s="454" t="s">
        <v>362</v>
      </c>
      <c r="C236" s="454"/>
      <c r="D236" s="454"/>
      <c r="E236" s="457" t="s">
        <v>420</v>
      </c>
      <c r="F236" s="457"/>
      <c r="G236" s="149"/>
      <c r="H236" s="147" t="str">
        <f>'P3 Data Security'!I153</f>
        <v/>
      </c>
      <c r="I236" s="147" t="str">
        <f>'P3 Data Security'!J153</f>
        <v/>
      </c>
      <c r="J236" s="147" t="str">
        <f>'P3 Data Security'!K153</f>
        <v/>
      </c>
      <c r="K236" s="147" t="str">
        <f>'P3 Data Security'!L153</f>
        <v/>
      </c>
      <c r="L236" s="147" t="str">
        <f>'P3 Data Security'!M153</f>
        <v/>
      </c>
      <c r="M236" s="147" t="str">
        <f>'P3 Data Security'!N153</f>
        <v/>
      </c>
      <c r="N236" s="148" t="s">
        <v>388</v>
      </c>
      <c r="O236" s="147" t="s">
        <v>484</v>
      </c>
      <c r="P236" s="149" t="s">
        <v>390</v>
      </c>
      <c r="Q236" s="148" t="s">
        <v>391</v>
      </c>
      <c r="R236" s="147" t="s">
        <v>485</v>
      </c>
      <c r="S236" s="143"/>
      <c r="T236" s="143">
        <v>30</v>
      </c>
      <c r="U236" s="159" t="s">
        <v>394</v>
      </c>
      <c r="V236" s="153" t="s">
        <v>479</v>
      </c>
    </row>
    <row r="237" spans="1:22" ht="30">
      <c r="A237" s="154" t="s">
        <v>32</v>
      </c>
      <c r="B237" s="456" t="s">
        <v>118</v>
      </c>
      <c r="C237" s="456"/>
      <c r="D237" s="456"/>
      <c r="E237" s="456" t="s">
        <v>176</v>
      </c>
      <c r="F237" s="456"/>
      <c r="G237" s="154" t="s">
        <v>35</v>
      </c>
      <c r="H237" s="155" t="s">
        <v>120</v>
      </c>
      <c r="I237" s="155" t="s">
        <v>121</v>
      </c>
      <c r="J237" s="155" t="s">
        <v>122</v>
      </c>
      <c r="K237" s="155" t="s">
        <v>123</v>
      </c>
      <c r="L237" s="155" t="s">
        <v>124</v>
      </c>
      <c r="M237" s="155" t="s">
        <v>125</v>
      </c>
      <c r="N237" s="155" t="s">
        <v>379</v>
      </c>
      <c r="O237" s="161" t="s">
        <v>380</v>
      </c>
      <c r="P237" s="155" t="s">
        <v>381</v>
      </c>
      <c r="Q237" s="155" t="s">
        <v>382</v>
      </c>
      <c r="R237" s="161" t="s">
        <v>383</v>
      </c>
      <c r="S237" s="161" t="s">
        <v>384</v>
      </c>
      <c r="T237" s="161" t="s">
        <v>385</v>
      </c>
      <c r="U237" s="161" t="s">
        <v>386</v>
      </c>
      <c r="V237" s="162" t="s">
        <v>387</v>
      </c>
    </row>
    <row r="238" spans="1:22" ht="15" customHeight="1">
      <c r="A238" s="450">
        <v>1</v>
      </c>
      <c r="B238" s="451" t="s">
        <v>365</v>
      </c>
      <c r="C238" s="451"/>
      <c r="D238" s="451"/>
      <c r="E238" s="457" t="s">
        <v>420</v>
      </c>
      <c r="F238" s="457"/>
      <c r="G238" s="149"/>
      <c r="H238" s="443" t="str">
        <f>'P3 Cross-border Data Flows'!I5</f>
        <v>Transferring personal data abroad without a lawful basis may lead to unauthorized processing, data breaches, and legal penalties under data protection laws.</v>
      </c>
      <c r="I238" s="443" t="str">
        <f>'P3 Cross-border Data Flows'!J5</f>
        <v xml:space="preserve">Unlawful Processing - Unauthorized Processing of Personal Data 
Unlawful Processing - Unauthorized Disclosure </v>
      </c>
      <c r="J238" s="443" t="str">
        <f>'P3 Cross-border Data Flows'!K5</f>
        <v xml:space="preserve">SEC. 25, DPA 
SEC. 32, DPA </v>
      </c>
      <c r="K238" s="443" t="str">
        <f>'P3 Cross-border Data Flows'!L5</f>
        <v/>
      </c>
      <c r="L238" s="443" t="str">
        <f>'P3 Cross-border Data Flows'!M5</f>
        <v/>
      </c>
      <c r="M238" s="443" t="str">
        <f>'P3 Cross-border Data Flows'!N5</f>
        <v/>
      </c>
      <c r="N238" s="444" t="s">
        <v>388</v>
      </c>
      <c r="O238" s="443" t="s">
        <v>486</v>
      </c>
      <c r="P238" s="444" t="s">
        <v>390</v>
      </c>
      <c r="Q238" s="444" t="s">
        <v>391</v>
      </c>
      <c r="R238" s="443" t="s">
        <v>487</v>
      </c>
      <c r="S238" s="442"/>
      <c r="T238" s="442">
        <v>1</v>
      </c>
      <c r="U238" s="445" t="s">
        <v>394</v>
      </c>
      <c r="V238" s="446" t="s">
        <v>395</v>
      </c>
    </row>
    <row r="239" spans="1:22">
      <c r="A239" s="450"/>
      <c r="B239" s="477" t="s">
        <v>366</v>
      </c>
      <c r="C239" s="477"/>
      <c r="D239" s="477"/>
      <c r="E239" s="471" t="b">
        <v>0</v>
      </c>
      <c r="F239" s="471"/>
      <c r="G239" s="149"/>
      <c r="H239" s="443"/>
      <c r="I239" s="443"/>
      <c r="J239" s="443"/>
      <c r="K239" s="443"/>
      <c r="L239" s="443"/>
      <c r="M239" s="443"/>
      <c r="N239" s="444"/>
      <c r="O239" s="443"/>
      <c r="P239" s="444"/>
      <c r="Q239" s="444"/>
      <c r="R239" s="443"/>
      <c r="S239" s="442"/>
      <c r="T239" s="442"/>
      <c r="U239" s="444"/>
      <c r="V239" s="447"/>
    </row>
    <row r="240" spans="1:22">
      <c r="A240" s="450"/>
      <c r="B240" s="477" t="s">
        <v>367</v>
      </c>
      <c r="C240" s="477"/>
      <c r="D240" s="477"/>
      <c r="E240" s="471" t="b">
        <v>0</v>
      </c>
      <c r="F240" s="471"/>
      <c r="G240" s="149"/>
      <c r="H240" s="443"/>
      <c r="I240" s="443"/>
      <c r="J240" s="443"/>
      <c r="K240" s="443"/>
      <c r="L240" s="443"/>
      <c r="M240" s="443"/>
      <c r="N240" s="444"/>
      <c r="O240" s="443"/>
      <c r="P240" s="444"/>
      <c r="Q240" s="444"/>
      <c r="R240" s="443"/>
      <c r="S240" s="442"/>
      <c r="T240" s="442"/>
      <c r="U240" s="444"/>
      <c r="V240" s="447"/>
    </row>
    <row r="241" spans="1:22">
      <c r="A241" s="450"/>
      <c r="B241" s="477" t="s">
        <v>368</v>
      </c>
      <c r="C241" s="477"/>
      <c r="D241" s="477"/>
      <c r="E241" s="471" t="b">
        <v>0</v>
      </c>
      <c r="F241" s="471"/>
      <c r="G241" s="149"/>
      <c r="H241" s="443"/>
      <c r="I241" s="443"/>
      <c r="J241" s="443"/>
      <c r="K241" s="443"/>
      <c r="L241" s="443"/>
      <c r="M241" s="443"/>
      <c r="N241" s="444"/>
      <c r="O241" s="443"/>
      <c r="P241" s="444"/>
      <c r="Q241" s="444"/>
      <c r="R241" s="443"/>
      <c r="S241" s="442"/>
      <c r="T241" s="442"/>
      <c r="U241" s="444"/>
      <c r="V241" s="447"/>
    </row>
    <row r="242" spans="1:22">
      <c r="A242" s="450"/>
      <c r="B242" s="477" t="s">
        <v>369</v>
      </c>
      <c r="C242" s="477"/>
      <c r="D242" s="477"/>
      <c r="E242" s="471" t="b">
        <v>0</v>
      </c>
      <c r="F242" s="471"/>
      <c r="G242" s="149"/>
      <c r="H242" s="443"/>
      <c r="I242" s="443"/>
      <c r="J242" s="443"/>
      <c r="K242" s="443"/>
      <c r="L242" s="443"/>
      <c r="M242" s="443"/>
      <c r="N242" s="444"/>
      <c r="O242" s="443"/>
      <c r="P242" s="444"/>
      <c r="Q242" s="444"/>
      <c r="R242" s="443"/>
      <c r="S242" s="442"/>
      <c r="T242" s="442"/>
      <c r="U242" s="444"/>
      <c r="V242" s="447"/>
    </row>
    <row r="243" spans="1:22">
      <c r="A243" s="450"/>
      <c r="B243" s="477" t="s">
        <v>370</v>
      </c>
      <c r="C243" s="477"/>
      <c r="D243" s="477"/>
      <c r="E243" s="471" t="b">
        <v>0</v>
      </c>
      <c r="F243" s="471"/>
      <c r="G243" s="149"/>
      <c r="H243" s="443"/>
      <c r="I243" s="443"/>
      <c r="J243" s="443"/>
      <c r="K243" s="443"/>
      <c r="L243" s="443"/>
      <c r="M243" s="443"/>
      <c r="N243" s="444"/>
      <c r="O243" s="443"/>
      <c r="P243" s="444"/>
      <c r="Q243" s="444"/>
      <c r="R243" s="443"/>
      <c r="S243" s="442"/>
      <c r="T243" s="442"/>
      <c r="U243" s="444"/>
      <c r="V243" s="447"/>
    </row>
    <row r="244" spans="1:22" ht="15" customHeight="1">
      <c r="A244" s="450">
        <v>2</v>
      </c>
      <c r="B244" s="451" t="s">
        <v>371</v>
      </c>
      <c r="C244" s="451"/>
      <c r="D244" s="451"/>
      <c r="E244" s="457" t="s">
        <v>420</v>
      </c>
      <c r="F244" s="457"/>
      <c r="G244" s="149"/>
      <c r="H244" s="443" t="str">
        <f>'P3 Cross-border Data Flows'!I11</f>
        <v/>
      </c>
      <c r="I244" s="443" t="str">
        <f>'P3 Cross-border Data Flows'!J11</f>
        <v/>
      </c>
      <c r="J244" s="443" t="str">
        <f>'P3 Cross-border Data Flows'!K11</f>
        <v/>
      </c>
      <c r="K244" s="443" t="str">
        <f>'P3 Cross-border Data Flows'!L11</f>
        <v/>
      </c>
      <c r="L244" s="443" t="str">
        <f>'P3 Cross-border Data Flows'!M11</f>
        <v/>
      </c>
      <c r="M244" s="443" t="str">
        <f>'P3 Cross-border Data Flows'!N11</f>
        <v/>
      </c>
      <c r="N244" s="444" t="s">
        <v>388</v>
      </c>
      <c r="O244" s="443" t="s">
        <v>488</v>
      </c>
      <c r="P244" s="444" t="s">
        <v>390</v>
      </c>
      <c r="Q244" s="444" t="s">
        <v>391</v>
      </c>
      <c r="R244" s="443" t="s">
        <v>489</v>
      </c>
      <c r="S244" s="442"/>
      <c r="T244" s="442">
        <v>30</v>
      </c>
      <c r="U244" s="445" t="s">
        <v>394</v>
      </c>
      <c r="V244" s="446" t="s">
        <v>395</v>
      </c>
    </row>
    <row r="245" spans="1:22">
      <c r="A245" s="450"/>
      <c r="B245" s="477" t="s">
        <v>372</v>
      </c>
      <c r="C245" s="477"/>
      <c r="D245" s="477"/>
      <c r="E245" s="471" t="b">
        <v>0</v>
      </c>
      <c r="F245" s="471"/>
      <c r="G245" s="149"/>
      <c r="H245" s="443"/>
      <c r="I245" s="443"/>
      <c r="J245" s="443"/>
      <c r="K245" s="443"/>
      <c r="L245" s="443"/>
      <c r="M245" s="443"/>
      <c r="N245" s="444"/>
      <c r="O245" s="443"/>
      <c r="P245" s="444"/>
      <c r="Q245" s="444"/>
      <c r="R245" s="443"/>
      <c r="S245" s="442"/>
      <c r="T245" s="442"/>
      <c r="U245" s="444"/>
      <c r="V245" s="447"/>
    </row>
    <row r="246" spans="1:22">
      <c r="A246" s="450"/>
      <c r="B246" s="477" t="s">
        <v>373</v>
      </c>
      <c r="C246" s="477"/>
      <c r="D246" s="477"/>
      <c r="E246" s="471" t="b">
        <v>0</v>
      </c>
      <c r="F246" s="471"/>
      <c r="G246" s="149"/>
      <c r="H246" s="443"/>
      <c r="I246" s="443"/>
      <c r="J246" s="443"/>
      <c r="K246" s="443"/>
      <c r="L246" s="443"/>
      <c r="M246" s="443"/>
      <c r="N246" s="444"/>
      <c r="O246" s="443"/>
      <c r="P246" s="444"/>
      <c r="Q246" s="444"/>
      <c r="R246" s="443"/>
      <c r="S246" s="442"/>
      <c r="T246" s="442"/>
      <c r="U246" s="444"/>
      <c r="V246" s="447"/>
    </row>
    <row r="247" spans="1:22">
      <c r="A247" s="450"/>
      <c r="B247" s="477" t="s">
        <v>374</v>
      </c>
      <c r="C247" s="477"/>
      <c r="D247" s="477"/>
      <c r="E247" s="471" t="b">
        <v>0</v>
      </c>
      <c r="F247" s="471"/>
      <c r="G247" s="149"/>
      <c r="H247" s="443"/>
      <c r="I247" s="443"/>
      <c r="J247" s="443"/>
      <c r="K247" s="443"/>
      <c r="L247" s="443"/>
      <c r="M247" s="443"/>
      <c r="N247" s="444"/>
      <c r="O247" s="443"/>
      <c r="P247" s="444"/>
      <c r="Q247" s="444"/>
      <c r="R247" s="443"/>
      <c r="S247" s="442"/>
      <c r="T247" s="442"/>
      <c r="U247" s="444"/>
      <c r="V247" s="447"/>
    </row>
    <row r="248" spans="1:22">
      <c r="A248" s="450"/>
      <c r="B248" s="477" t="s">
        <v>375</v>
      </c>
      <c r="C248" s="477"/>
      <c r="D248" s="477"/>
      <c r="E248" s="471" t="b">
        <v>0</v>
      </c>
      <c r="F248" s="471"/>
      <c r="G248" s="149"/>
      <c r="H248" s="443"/>
      <c r="I248" s="443"/>
      <c r="J248" s="443"/>
      <c r="K248" s="443"/>
      <c r="L248" s="443"/>
      <c r="M248" s="443"/>
      <c r="N248" s="444"/>
      <c r="O248" s="443"/>
      <c r="P248" s="444"/>
      <c r="Q248" s="444"/>
      <c r="R248" s="443"/>
      <c r="S248" s="442"/>
      <c r="T248" s="442"/>
      <c r="U248" s="444"/>
      <c r="V248" s="447"/>
    </row>
    <row r="249" spans="1:22">
      <c r="A249" s="450"/>
      <c r="B249" s="477" t="s">
        <v>376</v>
      </c>
      <c r="C249" s="477"/>
      <c r="D249" s="477"/>
      <c r="E249" s="471" t="b">
        <v>0</v>
      </c>
      <c r="F249" s="471"/>
      <c r="G249" s="149"/>
      <c r="H249" s="443"/>
      <c r="I249" s="443"/>
      <c r="J249" s="443"/>
      <c r="K249" s="443"/>
      <c r="L249" s="443"/>
      <c r="M249" s="443"/>
      <c r="N249" s="444"/>
      <c r="O249" s="443"/>
      <c r="P249" s="444"/>
      <c r="Q249" s="444"/>
      <c r="R249" s="443"/>
      <c r="S249" s="442"/>
      <c r="T249" s="442"/>
      <c r="U249" s="444"/>
      <c r="V249" s="447"/>
    </row>
  </sheetData>
  <sheetProtection algorithmName="SHA-512" hashValue="8sTgPdfV6lU5++KvSrClrkzY0D8GiCwdU+omhsJnTIn008gihNUt9B9nUACVYtQNvKYnyxzii9+cl2EtxMyM3g==" saltValue="ARscfG5Y5CtJl+WyNqnj1w==" spinCount="100000" sheet="1" objects="1" scenarios="1"/>
  <protectedRanges>
    <protectedRange sqref="G52:M62 G75:M75 G77:G78" name="Range16_2_1"/>
    <protectedRange sqref="E87:M88 E89:G95" name="Range1_2"/>
    <protectedRange sqref="E97:G102" name="Range2_4"/>
    <protectedRange sqref="E104:G106" name="Range3_4"/>
    <protectedRange sqref="E108:G115" name="Range4_4"/>
    <protectedRange sqref="E117:G119" name="Range5_4"/>
    <protectedRange sqref="E121:G130" name="Range6_4"/>
    <protectedRange sqref="E132:G134" name="Range7_2"/>
    <protectedRange sqref="E136:G138" name="Range8_2"/>
    <protectedRange sqref="E140:G144" name="Range9_1"/>
    <protectedRange sqref="E147:G152" name="Range10_1"/>
    <protectedRange sqref="E154:G160" name="Range11_1"/>
    <protectedRange sqref="E162:G165" name="Range12_1"/>
    <protectedRange sqref="E167:G172" name="Range13_1"/>
    <protectedRange sqref="E174:G179" name="Range14_1"/>
    <protectedRange sqref="E181:G187" name="Range15_1"/>
    <protectedRange sqref="E189:G193 G195:G203 G205:G209" name="Range16_1"/>
    <protectedRange sqref="E204:G204 E195:F203 E205:F209" name="Range17_1"/>
    <protectedRange sqref="E212:G225" name="Range18_1"/>
    <protectedRange sqref="E227:G236" name="Range19_1"/>
    <protectedRange sqref="E238:F249" name="Range1_3"/>
    <protectedRange sqref="G238:G249" name="Range16_3"/>
  </protectedRanges>
  <mergeCells count="698">
    <mergeCell ref="J244:J249"/>
    <mergeCell ref="K244:K249"/>
    <mergeCell ref="L244:L249"/>
    <mergeCell ref="M244:M249"/>
    <mergeCell ref="O244:O249"/>
    <mergeCell ref="B245:D245"/>
    <mergeCell ref="E245:F245"/>
    <mergeCell ref="B246:D246"/>
    <mergeCell ref="E246:F246"/>
    <mergeCell ref="B247:D247"/>
    <mergeCell ref="E247:F247"/>
    <mergeCell ref="B248:D248"/>
    <mergeCell ref="E248:F248"/>
    <mergeCell ref="B249:D249"/>
    <mergeCell ref="E249:F249"/>
    <mergeCell ref="A244:A249"/>
    <mergeCell ref="B244:D244"/>
    <mergeCell ref="E244:F244"/>
    <mergeCell ref="H244:H249"/>
    <mergeCell ref="I244:I249"/>
    <mergeCell ref="M238:M243"/>
    <mergeCell ref="O238:O243"/>
    <mergeCell ref="R238:R243"/>
    <mergeCell ref="B239:D239"/>
    <mergeCell ref="E239:F239"/>
    <mergeCell ref="B240:D240"/>
    <mergeCell ref="E240:F240"/>
    <mergeCell ref="B241:D241"/>
    <mergeCell ref="E241:F241"/>
    <mergeCell ref="B242:D242"/>
    <mergeCell ref="E242:F242"/>
    <mergeCell ref="B243:D243"/>
    <mergeCell ref="E243:F243"/>
    <mergeCell ref="H238:H243"/>
    <mergeCell ref="I238:I243"/>
    <mergeCell ref="J238:J243"/>
    <mergeCell ref="K238:K243"/>
    <mergeCell ref="L238:L243"/>
    <mergeCell ref="R244:R249"/>
    <mergeCell ref="B237:D237"/>
    <mergeCell ref="E237:F237"/>
    <mergeCell ref="A238:A243"/>
    <mergeCell ref="B238:D238"/>
    <mergeCell ref="E238:F238"/>
    <mergeCell ref="O227:O233"/>
    <mergeCell ref="R227:R233"/>
    <mergeCell ref="B228:D228"/>
    <mergeCell ref="E228:F228"/>
    <mergeCell ref="B229:D229"/>
    <mergeCell ref="E229:F229"/>
    <mergeCell ref="B230:D230"/>
    <mergeCell ref="E230:F230"/>
    <mergeCell ref="B231:D231"/>
    <mergeCell ref="E231:F231"/>
    <mergeCell ref="B232:D232"/>
    <mergeCell ref="E232:F232"/>
    <mergeCell ref="B233:D233"/>
    <mergeCell ref="E233:F233"/>
    <mergeCell ref="B234:D234"/>
    <mergeCell ref="E234:F234"/>
    <mergeCell ref="B235:D235"/>
    <mergeCell ref="E235:F235"/>
    <mergeCell ref="B236:D236"/>
    <mergeCell ref="A219:A225"/>
    <mergeCell ref="B219:D219"/>
    <mergeCell ref="E219:F219"/>
    <mergeCell ref="H219:H225"/>
    <mergeCell ref="O219:O225"/>
    <mergeCell ref="B220:D220"/>
    <mergeCell ref="E220:F220"/>
    <mergeCell ref="B221:D221"/>
    <mergeCell ref="E221:F221"/>
    <mergeCell ref="B222:D222"/>
    <mergeCell ref="E222:F222"/>
    <mergeCell ref="B223:D223"/>
    <mergeCell ref="E223:F223"/>
    <mergeCell ref="B224:D224"/>
    <mergeCell ref="E224:F224"/>
    <mergeCell ref="B225:D225"/>
    <mergeCell ref="B217:D217"/>
    <mergeCell ref="E217:F217"/>
    <mergeCell ref="A204:A210"/>
    <mergeCell ref="B204:D204"/>
    <mergeCell ref="E204:F204"/>
    <mergeCell ref="H204:H209"/>
    <mergeCell ref="B210:M210"/>
    <mergeCell ref="B212:D212"/>
    <mergeCell ref="E212:F212"/>
    <mergeCell ref="H212:H216"/>
    <mergeCell ref="O204:O209"/>
    <mergeCell ref="B205:D205"/>
    <mergeCell ref="E205:F205"/>
    <mergeCell ref="B206:D206"/>
    <mergeCell ref="E206:F206"/>
    <mergeCell ref="B207:D207"/>
    <mergeCell ref="E207:F207"/>
    <mergeCell ref="B208:D208"/>
    <mergeCell ref="E208:F208"/>
    <mergeCell ref="B209:D209"/>
    <mergeCell ref="E209:F209"/>
    <mergeCell ref="A134:A186"/>
    <mergeCell ref="B146:G146"/>
    <mergeCell ref="B147:D147"/>
    <mergeCell ref="E147:F147"/>
    <mergeCell ref="B148:D148"/>
    <mergeCell ref="E148:F148"/>
    <mergeCell ref="B149:D149"/>
    <mergeCell ref="E149:F149"/>
    <mergeCell ref="B190:D190"/>
    <mergeCell ref="E190:F190"/>
    <mergeCell ref="A187:A203"/>
    <mergeCell ref="B187:D187"/>
    <mergeCell ref="E187:F187"/>
    <mergeCell ref="E195:F195"/>
    <mergeCell ref="B196:D196"/>
    <mergeCell ref="E196:F196"/>
    <mergeCell ref="B197:D197"/>
    <mergeCell ref="E197:F197"/>
    <mergeCell ref="B198:D198"/>
    <mergeCell ref="E198:F198"/>
    <mergeCell ref="B199:D199"/>
    <mergeCell ref="E199:F199"/>
    <mergeCell ref="B200:D200"/>
    <mergeCell ref="E200:F200"/>
    <mergeCell ref="B191:D191"/>
    <mergeCell ref="E191:F191"/>
    <mergeCell ref="B192:D192"/>
    <mergeCell ref="E192:F192"/>
    <mergeCell ref="B193:D193"/>
    <mergeCell ref="E193:F193"/>
    <mergeCell ref="B194:G194"/>
    <mergeCell ref="B195:D195"/>
    <mergeCell ref="B141:D141"/>
    <mergeCell ref="E141:F141"/>
    <mergeCell ref="B142:D142"/>
    <mergeCell ref="E142:F142"/>
    <mergeCell ref="B143:D143"/>
    <mergeCell ref="B185:D185"/>
    <mergeCell ref="E185:F185"/>
    <mergeCell ref="B180:G180"/>
    <mergeCell ref="B181:D181"/>
    <mergeCell ref="E181:F181"/>
    <mergeCell ref="B182:D182"/>
    <mergeCell ref="E182:F182"/>
    <mergeCell ref="B177:D177"/>
    <mergeCell ref="E177:F177"/>
    <mergeCell ref="B178:D178"/>
    <mergeCell ref="E178:F178"/>
    <mergeCell ref="B134:D134"/>
    <mergeCell ref="E134:F134"/>
    <mergeCell ref="H134:H186"/>
    <mergeCell ref="O134:O186"/>
    <mergeCell ref="E143:F143"/>
    <mergeCell ref="B144:D144"/>
    <mergeCell ref="E144:F144"/>
    <mergeCell ref="B145:G145"/>
    <mergeCell ref="B186:D186"/>
    <mergeCell ref="E186:F186"/>
    <mergeCell ref="B135:G135"/>
    <mergeCell ref="B136:D136"/>
    <mergeCell ref="E136:F136"/>
    <mergeCell ref="B137:D137"/>
    <mergeCell ref="E137:F137"/>
    <mergeCell ref="B138:D138"/>
    <mergeCell ref="E138:F138"/>
    <mergeCell ref="B139:G139"/>
    <mergeCell ref="B140:D140"/>
    <mergeCell ref="E140:F140"/>
    <mergeCell ref="B183:D183"/>
    <mergeCell ref="E183:F183"/>
    <mergeCell ref="B184:D184"/>
    <mergeCell ref="E184:F184"/>
    <mergeCell ref="A95:A112"/>
    <mergeCell ref="B95:D95"/>
    <mergeCell ref="E95:F95"/>
    <mergeCell ref="O115:O133"/>
    <mergeCell ref="R115:R133"/>
    <mergeCell ref="B116:G116"/>
    <mergeCell ref="B117:D117"/>
    <mergeCell ref="E117:F117"/>
    <mergeCell ref="B118:D118"/>
    <mergeCell ref="E118:F118"/>
    <mergeCell ref="B119:D119"/>
    <mergeCell ref="E119:F119"/>
    <mergeCell ref="B120:G120"/>
    <mergeCell ref="B121:D121"/>
    <mergeCell ref="E121:F121"/>
    <mergeCell ref="B122:D122"/>
    <mergeCell ref="E122:F122"/>
    <mergeCell ref="B123:D123"/>
    <mergeCell ref="E123:F123"/>
    <mergeCell ref="B113:D113"/>
    <mergeCell ref="E113:F113"/>
    <mergeCell ref="B114:D114"/>
    <mergeCell ref="E114:F114"/>
    <mergeCell ref="A115:A133"/>
    <mergeCell ref="B128:D128"/>
    <mergeCell ref="E99:F99"/>
    <mergeCell ref="B100:D100"/>
    <mergeCell ref="E100:F100"/>
    <mergeCell ref="B101:D101"/>
    <mergeCell ref="E101:F101"/>
    <mergeCell ref="B102:D102"/>
    <mergeCell ref="E102:F102"/>
    <mergeCell ref="B103:G103"/>
    <mergeCell ref="B104:D104"/>
    <mergeCell ref="B115:D115"/>
    <mergeCell ref="E115:F115"/>
    <mergeCell ref="B124:D124"/>
    <mergeCell ref="E124:F124"/>
    <mergeCell ref="B125:D125"/>
    <mergeCell ref="E125:F125"/>
    <mergeCell ref="B126:D126"/>
    <mergeCell ref="E126:F126"/>
    <mergeCell ref="B127:D127"/>
    <mergeCell ref="E127:F127"/>
    <mergeCell ref="H95:H112"/>
    <mergeCell ref="O95:O112"/>
    <mergeCell ref="E104:F104"/>
    <mergeCell ref="B105:D105"/>
    <mergeCell ref="E105:F105"/>
    <mergeCell ref="B106:D106"/>
    <mergeCell ref="E106:F106"/>
    <mergeCell ref="B107:G107"/>
    <mergeCell ref="B108:D108"/>
    <mergeCell ref="E108:F108"/>
    <mergeCell ref="B109:D109"/>
    <mergeCell ref="E109:F109"/>
    <mergeCell ref="B110:D110"/>
    <mergeCell ref="E110:F110"/>
    <mergeCell ref="B111:D111"/>
    <mergeCell ref="E111:F111"/>
    <mergeCell ref="B112:D112"/>
    <mergeCell ref="E112:F112"/>
    <mergeCell ref="B96:G96"/>
    <mergeCell ref="B97:D97"/>
    <mergeCell ref="E97:F97"/>
    <mergeCell ref="B98:D98"/>
    <mergeCell ref="E98:F98"/>
    <mergeCell ref="B99:D99"/>
    <mergeCell ref="A89:A94"/>
    <mergeCell ref="B89:D89"/>
    <mergeCell ref="E89:F89"/>
    <mergeCell ref="H89:H94"/>
    <mergeCell ref="O89:O94"/>
    <mergeCell ref="B90:D90"/>
    <mergeCell ref="E90:F90"/>
    <mergeCell ref="B91:D91"/>
    <mergeCell ref="E91:F91"/>
    <mergeCell ref="B92:D92"/>
    <mergeCell ref="E92:F92"/>
    <mergeCell ref="B93:D93"/>
    <mergeCell ref="E93:F93"/>
    <mergeCell ref="B94:D94"/>
    <mergeCell ref="E94:F94"/>
    <mergeCell ref="E236:F236"/>
    <mergeCell ref="B227:D227"/>
    <mergeCell ref="E227:F227"/>
    <mergeCell ref="I227:I233"/>
    <mergeCell ref="J227:J233"/>
    <mergeCell ref="K227:K233"/>
    <mergeCell ref="L227:L233"/>
    <mergeCell ref="M227:M233"/>
    <mergeCell ref="A226:M226"/>
    <mergeCell ref="A227:A233"/>
    <mergeCell ref="H227:H233"/>
    <mergeCell ref="R219:R225"/>
    <mergeCell ref="I219:I225"/>
    <mergeCell ref="J219:J225"/>
    <mergeCell ref="K219:K225"/>
    <mergeCell ref="L219:L225"/>
    <mergeCell ref="M219:M225"/>
    <mergeCell ref="B218:D218"/>
    <mergeCell ref="E218:F218"/>
    <mergeCell ref="E225:F225"/>
    <mergeCell ref="Q219:Q225"/>
    <mergeCell ref="N219:N225"/>
    <mergeCell ref="P219:P225"/>
    <mergeCell ref="O212:O216"/>
    <mergeCell ref="R212:R216"/>
    <mergeCell ref="B213:D213"/>
    <mergeCell ref="I212:I216"/>
    <mergeCell ref="J212:J216"/>
    <mergeCell ref="K212:K216"/>
    <mergeCell ref="L212:L216"/>
    <mergeCell ref="M212:M216"/>
    <mergeCell ref="A211:M211"/>
    <mergeCell ref="A212:A216"/>
    <mergeCell ref="E213:F213"/>
    <mergeCell ref="B214:D214"/>
    <mergeCell ref="E214:F214"/>
    <mergeCell ref="B215:D215"/>
    <mergeCell ref="E215:F215"/>
    <mergeCell ref="B216:D216"/>
    <mergeCell ref="E216:F216"/>
    <mergeCell ref="N212:N216"/>
    <mergeCell ref="P212:P216"/>
    <mergeCell ref="R204:R209"/>
    <mergeCell ref="N204:N209"/>
    <mergeCell ref="K204:K209"/>
    <mergeCell ref="L204:L209"/>
    <mergeCell ref="M204:M209"/>
    <mergeCell ref="I204:I209"/>
    <mergeCell ref="J204:J209"/>
    <mergeCell ref="B201:D201"/>
    <mergeCell ref="E201:F201"/>
    <mergeCell ref="B202:D202"/>
    <mergeCell ref="E202:F202"/>
    <mergeCell ref="B203:D203"/>
    <mergeCell ref="E203:F203"/>
    <mergeCell ref="I187:I203"/>
    <mergeCell ref="J187:J203"/>
    <mergeCell ref="K187:K203"/>
    <mergeCell ref="L187:L203"/>
    <mergeCell ref="M187:M203"/>
    <mergeCell ref="H187:H203"/>
    <mergeCell ref="O187:O203"/>
    <mergeCell ref="R187:R203"/>
    <mergeCell ref="B188:G188"/>
    <mergeCell ref="B189:D189"/>
    <mergeCell ref="E189:F189"/>
    <mergeCell ref="B179:D179"/>
    <mergeCell ref="E179:F179"/>
    <mergeCell ref="B174:D174"/>
    <mergeCell ref="E174:F174"/>
    <mergeCell ref="B175:D175"/>
    <mergeCell ref="E175:F175"/>
    <mergeCell ref="B176:D176"/>
    <mergeCell ref="E176:F176"/>
    <mergeCell ref="B171:D171"/>
    <mergeCell ref="E171:F171"/>
    <mergeCell ref="B172:D172"/>
    <mergeCell ref="E172:F172"/>
    <mergeCell ref="B173:G173"/>
    <mergeCell ref="B168:D168"/>
    <mergeCell ref="E168:F168"/>
    <mergeCell ref="B169:D169"/>
    <mergeCell ref="E169:F169"/>
    <mergeCell ref="B170:D170"/>
    <mergeCell ref="E170:F170"/>
    <mergeCell ref="B165:D165"/>
    <mergeCell ref="E165:F165"/>
    <mergeCell ref="B166:G166"/>
    <mergeCell ref="B167:D167"/>
    <mergeCell ref="E167:F167"/>
    <mergeCell ref="B162:D162"/>
    <mergeCell ref="E162:F162"/>
    <mergeCell ref="B163:D163"/>
    <mergeCell ref="E163:F163"/>
    <mergeCell ref="B164:D164"/>
    <mergeCell ref="E164:F164"/>
    <mergeCell ref="B160:D160"/>
    <mergeCell ref="E160:F160"/>
    <mergeCell ref="B161:G161"/>
    <mergeCell ref="B156:D156"/>
    <mergeCell ref="E156:F156"/>
    <mergeCell ref="B157:D157"/>
    <mergeCell ref="E157:F157"/>
    <mergeCell ref="B158:D158"/>
    <mergeCell ref="E158:F158"/>
    <mergeCell ref="B155:D155"/>
    <mergeCell ref="E155:F155"/>
    <mergeCell ref="B150:D150"/>
    <mergeCell ref="E150:F150"/>
    <mergeCell ref="B151:D151"/>
    <mergeCell ref="E151:F151"/>
    <mergeCell ref="B152:D152"/>
    <mergeCell ref="E152:F152"/>
    <mergeCell ref="B154:D154"/>
    <mergeCell ref="E154:F154"/>
    <mergeCell ref="B159:D159"/>
    <mergeCell ref="E159:F159"/>
    <mergeCell ref="K134:K186"/>
    <mergeCell ref="L134:L186"/>
    <mergeCell ref="M134:M186"/>
    <mergeCell ref="I134:I186"/>
    <mergeCell ref="J134:J186"/>
    <mergeCell ref="H115:H133"/>
    <mergeCell ref="E128:F128"/>
    <mergeCell ref="B129:D129"/>
    <mergeCell ref="E129:F129"/>
    <mergeCell ref="B130:D130"/>
    <mergeCell ref="E130:F130"/>
    <mergeCell ref="B131:G131"/>
    <mergeCell ref="B132:D132"/>
    <mergeCell ref="E132:F132"/>
    <mergeCell ref="B133:D133"/>
    <mergeCell ref="E133:F133"/>
    <mergeCell ref="I115:I133"/>
    <mergeCell ref="J115:J133"/>
    <mergeCell ref="K115:K133"/>
    <mergeCell ref="L115:L133"/>
    <mergeCell ref="M115:M133"/>
    <mergeCell ref="B153:G153"/>
    <mergeCell ref="K95:K112"/>
    <mergeCell ref="L95:L112"/>
    <mergeCell ref="M95:M112"/>
    <mergeCell ref="I95:I112"/>
    <mergeCell ref="J95:J112"/>
    <mergeCell ref="R89:R94"/>
    <mergeCell ref="I89:I94"/>
    <mergeCell ref="J89:J94"/>
    <mergeCell ref="K89:K94"/>
    <mergeCell ref="L89:L94"/>
    <mergeCell ref="M89:M94"/>
    <mergeCell ref="Q95:Q112"/>
    <mergeCell ref="N89:N94"/>
    <mergeCell ref="N95:N112"/>
    <mergeCell ref="B88:D88"/>
    <mergeCell ref="E88:F88"/>
    <mergeCell ref="A85:M85"/>
    <mergeCell ref="B86:D86"/>
    <mergeCell ref="E86:F86"/>
    <mergeCell ref="B87:D87"/>
    <mergeCell ref="E87:F87"/>
    <mergeCell ref="A83:M83"/>
    <mergeCell ref="B84:D84"/>
    <mergeCell ref="E84:F84"/>
    <mergeCell ref="B70:D70"/>
    <mergeCell ref="E70:F70"/>
    <mergeCell ref="B71:D71"/>
    <mergeCell ref="E71:F71"/>
    <mergeCell ref="B72:D72"/>
    <mergeCell ref="L64:L73"/>
    <mergeCell ref="M64:M73"/>
    <mergeCell ref="I64:I73"/>
    <mergeCell ref="J64:J73"/>
    <mergeCell ref="B65:D65"/>
    <mergeCell ref="E65:F65"/>
    <mergeCell ref="B66:D66"/>
    <mergeCell ref="E66:F66"/>
    <mergeCell ref="B67:D67"/>
    <mergeCell ref="E67:F67"/>
    <mergeCell ref="B68:D68"/>
    <mergeCell ref="E68:F68"/>
    <mergeCell ref="B69:D69"/>
    <mergeCell ref="E69:F69"/>
    <mergeCell ref="A64:A73"/>
    <mergeCell ref="B64:D64"/>
    <mergeCell ref="E64:F64"/>
    <mergeCell ref="H64:H73"/>
    <mergeCell ref="O64:O73"/>
    <mergeCell ref="E72:F72"/>
    <mergeCell ref="B73:D73"/>
    <mergeCell ref="E73:F73"/>
    <mergeCell ref="A53:A57"/>
    <mergeCell ref="B53:D53"/>
    <mergeCell ref="E53:F53"/>
    <mergeCell ref="O53:O57"/>
    <mergeCell ref="B54:D54"/>
    <mergeCell ref="E54:F54"/>
    <mergeCell ref="B55:D55"/>
    <mergeCell ref="E55:F55"/>
    <mergeCell ref="B56:D56"/>
    <mergeCell ref="E56:F56"/>
    <mergeCell ref="B57:D57"/>
    <mergeCell ref="E57:F57"/>
    <mergeCell ref="B61:D61"/>
    <mergeCell ref="E61:F61"/>
    <mergeCell ref="B62:D62"/>
    <mergeCell ref="K64:K73"/>
    <mergeCell ref="B51:D51"/>
    <mergeCell ref="E51:F51"/>
    <mergeCell ref="B52:D52"/>
    <mergeCell ref="E52:F52"/>
    <mergeCell ref="B58:D58"/>
    <mergeCell ref="E58:F58"/>
    <mergeCell ref="B59:D59"/>
    <mergeCell ref="E59:F59"/>
    <mergeCell ref="B60:D60"/>
    <mergeCell ref="E60:F60"/>
    <mergeCell ref="A79:M79"/>
    <mergeCell ref="B80:D80"/>
    <mergeCell ref="E80:F80"/>
    <mergeCell ref="A81:M81"/>
    <mergeCell ref="B82:D82"/>
    <mergeCell ref="E82:F82"/>
    <mergeCell ref="I77:I78"/>
    <mergeCell ref="J77:J78"/>
    <mergeCell ref="A74:D74"/>
    <mergeCell ref="E74:M74"/>
    <mergeCell ref="B75:D75"/>
    <mergeCell ref="E75:F75"/>
    <mergeCell ref="A76:A78"/>
    <mergeCell ref="B76:M76"/>
    <mergeCell ref="B77:D77"/>
    <mergeCell ref="E77:F77"/>
    <mergeCell ref="B78:D78"/>
    <mergeCell ref="E78:F78"/>
    <mergeCell ref="E62:F62"/>
    <mergeCell ref="A63:M63"/>
    <mergeCell ref="R53:R57"/>
    <mergeCell ref="S37:S40"/>
    <mergeCell ref="T37:T40"/>
    <mergeCell ref="C42:E42"/>
    <mergeCell ref="B43:M43"/>
    <mergeCell ref="B44:B49"/>
    <mergeCell ref="C44:E44"/>
    <mergeCell ref="H44:H49"/>
    <mergeCell ref="I44:I49"/>
    <mergeCell ref="J44:J49"/>
    <mergeCell ref="K44:K49"/>
    <mergeCell ref="L44:L49"/>
    <mergeCell ref="M44:M49"/>
    <mergeCell ref="O44:O49"/>
    <mergeCell ref="R44:R49"/>
    <mergeCell ref="C45:E45"/>
    <mergeCell ref="C46:E46"/>
    <mergeCell ref="C47:E47"/>
    <mergeCell ref="B50:N50"/>
    <mergeCell ref="O50:V50"/>
    <mergeCell ref="N43:V43"/>
    <mergeCell ref="N44:N49"/>
    <mergeCell ref="P44:P49"/>
    <mergeCell ref="Q44:Q49"/>
    <mergeCell ref="S44:S49"/>
    <mergeCell ref="T44:T49"/>
    <mergeCell ref="U44:U49"/>
    <mergeCell ref="V44:V49"/>
    <mergeCell ref="N41:V41"/>
    <mergeCell ref="P32:P36"/>
    <mergeCell ref="N32:N36"/>
    <mergeCell ref="N37:N40"/>
    <mergeCell ref="P37:P40"/>
    <mergeCell ref="Q37:Q40"/>
    <mergeCell ref="Q32:Q36"/>
    <mergeCell ref="S32:S36"/>
    <mergeCell ref="T32:T36"/>
    <mergeCell ref="U32:U36"/>
    <mergeCell ref="V32:V36"/>
    <mergeCell ref="O37:O40"/>
    <mergeCell ref="R37:R40"/>
    <mergeCell ref="U37:U40"/>
    <mergeCell ref="V37:V40"/>
    <mergeCell ref="O32:O36"/>
    <mergeCell ref="R32:R36"/>
    <mergeCell ref="B2:M3"/>
    <mergeCell ref="B5:M5"/>
    <mergeCell ref="C6:E6"/>
    <mergeCell ref="B7:B17"/>
    <mergeCell ref="C7:E7"/>
    <mergeCell ref="H7:H17"/>
    <mergeCell ref="I7:I17"/>
    <mergeCell ref="J7:J17"/>
    <mergeCell ref="K7:K17"/>
    <mergeCell ref="L7:L17"/>
    <mergeCell ref="C14:E14"/>
    <mergeCell ref="C15:E15"/>
    <mergeCell ref="C16:E16"/>
    <mergeCell ref="C17:E17"/>
    <mergeCell ref="S7:S17"/>
    <mergeCell ref="T7:T17"/>
    <mergeCell ref="U7:U17"/>
    <mergeCell ref="V7:V17"/>
    <mergeCell ref="C8:E8"/>
    <mergeCell ref="C9:E9"/>
    <mergeCell ref="C10:E10"/>
    <mergeCell ref="C11:E11"/>
    <mergeCell ref="C12:E12"/>
    <mergeCell ref="C13:E13"/>
    <mergeCell ref="M7:M17"/>
    <mergeCell ref="N7:N17"/>
    <mergeCell ref="O7:O17"/>
    <mergeCell ref="P7:P17"/>
    <mergeCell ref="Q7:Q17"/>
    <mergeCell ref="R7:R17"/>
    <mergeCell ref="C33:E33"/>
    <mergeCell ref="C34:E34"/>
    <mergeCell ref="C35:E35"/>
    <mergeCell ref="C36:E36"/>
    <mergeCell ref="K32:K36"/>
    <mergeCell ref="C18:E18"/>
    <mergeCell ref="B31:M31"/>
    <mergeCell ref="C20:E20"/>
    <mergeCell ref="C21:E21"/>
    <mergeCell ref="B22:M22"/>
    <mergeCell ref="B23:C23"/>
    <mergeCell ref="B24:C24"/>
    <mergeCell ref="B25:C25"/>
    <mergeCell ref="B26:C26"/>
    <mergeCell ref="B27:C27"/>
    <mergeCell ref="B28:C28"/>
    <mergeCell ref="B29:M29"/>
    <mergeCell ref="C30:E30"/>
    <mergeCell ref="B19:M19"/>
    <mergeCell ref="N22:V22"/>
    <mergeCell ref="N29:V29"/>
    <mergeCell ref="N31:V31"/>
    <mergeCell ref="C48:E48"/>
    <mergeCell ref="C49:E49"/>
    <mergeCell ref="B32:B36"/>
    <mergeCell ref="C32:E32"/>
    <mergeCell ref="H32:H36"/>
    <mergeCell ref="I32:I36"/>
    <mergeCell ref="J32:J36"/>
    <mergeCell ref="L32:L36"/>
    <mergeCell ref="M32:M36"/>
    <mergeCell ref="B37:B40"/>
    <mergeCell ref="C37:E37"/>
    <mergeCell ref="H37:H40"/>
    <mergeCell ref="I37:I40"/>
    <mergeCell ref="J37:J40"/>
    <mergeCell ref="L37:L40"/>
    <mergeCell ref="M37:M40"/>
    <mergeCell ref="C38:E38"/>
    <mergeCell ref="C39:E39"/>
    <mergeCell ref="C40:E40"/>
    <mergeCell ref="K37:K40"/>
    <mergeCell ref="B41:M41"/>
    <mergeCell ref="N227:N233"/>
    <mergeCell ref="P227:P233"/>
    <mergeCell ref="N238:N243"/>
    <mergeCell ref="N244:N249"/>
    <mergeCell ref="Q53:Q57"/>
    <mergeCell ref="Q64:Q73"/>
    <mergeCell ref="Q89:Q94"/>
    <mergeCell ref="Q115:Q133"/>
    <mergeCell ref="Q134:Q186"/>
    <mergeCell ref="Q187:Q203"/>
    <mergeCell ref="Q204:Q209"/>
    <mergeCell ref="Q212:Q216"/>
    <mergeCell ref="N210:V210"/>
    <mergeCell ref="N211:V211"/>
    <mergeCell ref="U53:U57"/>
    <mergeCell ref="U64:U73"/>
    <mergeCell ref="U89:U94"/>
    <mergeCell ref="U95:U112"/>
    <mergeCell ref="U115:U133"/>
    <mergeCell ref="U134:U186"/>
    <mergeCell ref="N53:N57"/>
    <mergeCell ref="N64:N73"/>
    <mergeCell ref="N74:V74"/>
    <mergeCell ref="N76:V76"/>
    <mergeCell ref="N115:N133"/>
    <mergeCell ref="N134:N186"/>
    <mergeCell ref="N187:N203"/>
    <mergeCell ref="P187:P203"/>
    <mergeCell ref="P134:P186"/>
    <mergeCell ref="U187:U203"/>
    <mergeCell ref="R64:R73"/>
    <mergeCell ref="R95:R112"/>
    <mergeCell ref="R134:R186"/>
    <mergeCell ref="T115:T133"/>
    <mergeCell ref="S115:S133"/>
    <mergeCell ref="S134:S186"/>
    <mergeCell ref="T134:T186"/>
    <mergeCell ref="T187:T203"/>
    <mergeCell ref="S187:S203"/>
    <mergeCell ref="P244:P249"/>
    <mergeCell ref="P238:P243"/>
    <mergeCell ref="P53:P57"/>
    <mergeCell ref="P64:P73"/>
    <mergeCell ref="P89:P94"/>
    <mergeCell ref="P95:P112"/>
    <mergeCell ref="P115:P133"/>
    <mergeCell ref="Q227:Q233"/>
    <mergeCell ref="Q238:Q243"/>
    <mergeCell ref="Q244:Q249"/>
    <mergeCell ref="P204:P209"/>
    <mergeCell ref="U227:U233"/>
    <mergeCell ref="U238:U243"/>
    <mergeCell ref="U244:U249"/>
    <mergeCell ref="V53:V57"/>
    <mergeCell ref="V64:V73"/>
    <mergeCell ref="V89:V94"/>
    <mergeCell ref="V95:V112"/>
    <mergeCell ref="V115:V133"/>
    <mergeCell ref="V134:V186"/>
    <mergeCell ref="V187:V203"/>
    <mergeCell ref="V204:V209"/>
    <mergeCell ref="V212:V216"/>
    <mergeCell ref="V219:V225"/>
    <mergeCell ref="V227:V233"/>
    <mergeCell ref="V238:V243"/>
    <mergeCell ref="V244:V249"/>
    <mergeCell ref="U204:U209"/>
    <mergeCell ref="U212:U216"/>
    <mergeCell ref="T53:T57"/>
    <mergeCell ref="S53:S57"/>
    <mergeCell ref="T64:T73"/>
    <mergeCell ref="S64:S73"/>
    <mergeCell ref="T89:T94"/>
    <mergeCell ref="S89:S94"/>
    <mergeCell ref="T95:T112"/>
    <mergeCell ref="S95:S112"/>
    <mergeCell ref="U219:U225"/>
    <mergeCell ref="T244:T249"/>
    <mergeCell ref="S238:S243"/>
    <mergeCell ref="S244:S249"/>
    <mergeCell ref="T204:T209"/>
    <mergeCell ref="S204:S209"/>
    <mergeCell ref="T212:T216"/>
    <mergeCell ref="S212:S216"/>
    <mergeCell ref="T219:T225"/>
    <mergeCell ref="S219:S225"/>
    <mergeCell ref="T227:T233"/>
    <mergeCell ref="S227:S233"/>
    <mergeCell ref="T238:T243"/>
  </mergeCells>
  <conditionalFormatting sqref="E77:G78">
    <cfRule type="expression" dxfId="30" priority="54">
      <formula>UPPER($F$33)="N/A"</formula>
    </cfRule>
  </conditionalFormatting>
  <conditionalFormatting sqref="E189:G193">
    <cfRule type="expression" dxfId="29" priority="17">
      <formula>UPPER($F$104)="N/A"</formula>
    </cfRule>
  </conditionalFormatting>
  <conditionalFormatting sqref="E195:G203">
    <cfRule type="expression" dxfId="28" priority="16">
      <formula>UPPER($F$104)="N/A"</formula>
    </cfRule>
  </conditionalFormatting>
  <conditionalFormatting sqref="E205:G209">
    <cfRule type="expression" dxfId="27" priority="15">
      <formula>UPPER($F$121)="N/A"</formula>
    </cfRule>
  </conditionalFormatting>
  <conditionalFormatting sqref="E238:G249">
    <cfRule type="expression" dxfId="26" priority="5">
      <formula>UPPER($H$3)="N/A"</formula>
    </cfRule>
  </conditionalFormatting>
  <conditionalFormatting sqref="E52:M62">
    <cfRule type="expression" dxfId="25" priority="53">
      <formula>UPPER($F$9)="N/A"</formula>
    </cfRule>
  </conditionalFormatting>
  <conditionalFormatting sqref="E75:M75">
    <cfRule type="expression" dxfId="24" priority="55">
      <formula>UPPER($F$33)="N/A"</formula>
    </cfRule>
  </conditionalFormatting>
  <conditionalFormatting sqref="G238:G249">
    <cfRule type="expression" dxfId="23" priority="4">
      <formula>UPPER($F$104)="N/A"</formula>
    </cfRule>
  </conditionalFormatting>
  <conditionalFormatting sqref="G52:M62">
    <cfRule type="expression" dxfId="22" priority="51">
      <formula>UPPER($F$104)="N/A"</formula>
    </cfRule>
    <cfRule type="expression" dxfId="21" priority="52">
      <formula>UPPER($H$3)="N/A"</formula>
    </cfRule>
  </conditionalFormatting>
  <conditionalFormatting sqref="M5:M32 M37 M42:M44 M250:M1048576">
    <cfRule type="containsText" dxfId="20" priority="65" operator="containsText" text="High">
      <formula>NOT(ISERROR(SEARCH("High",M5)))</formula>
    </cfRule>
    <cfRule type="containsText" dxfId="19" priority="66" operator="containsText" text="Medium ">
      <formula>NOT(ISERROR(SEARCH("Medium ",M5)))</formula>
    </cfRule>
    <cfRule type="containsText" dxfId="18" priority="67" operator="containsText" text="Low">
      <formula>NOT(ISERROR(SEARCH("Low",M5)))</formula>
    </cfRule>
  </conditionalFormatting>
  <conditionalFormatting sqref="M51 M63 M74 M76 M79 M81 M83">
    <cfRule type="containsText" dxfId="17" priority="56" operator="containsText" text="Medium">
      <formula>NOT(ISERROR(SEARCH("Medium",M51)))</formula>
    </cfRule>
    <cfRule type="containsText" dxfId="16" priority="57" operator="containsText" text="Low">
      <formula>NOT(ISERROR(SEARCH("Low",M51)))</formula>
    </cfRule>
    <cfRule type="containsText" dxfId="15" priority="58" operator="containsText" text="High">
      <formula>NOT(ISERROR(SEARCH("High",M51)))</formula>
    </cfRule>
  </conditionalFormatting>
  <conditionalFormatting sqref="N50">
    <cfRule type="containsText" dxfId="14" priority="59" operator="containsText" text="Medium">
      <formula>NOT(ISERROR(SEARCH("Medium",N50)))</formula>
    </cfRule>
    <cfRule type="containsText" dxfId="13" priority="60" operator="containsText" text="Low">
      <formula>NOT(ISERROR(SEARCH("Low",N50)))</formula>
    </cfRule>
    <cfRule type="containsText" dxfId="12" priority="61" operator="containsText" text="High">
      <formula>NOT(ISERROR(SEARCH("High",N50)))</formula>
    </cfRule>
  </conditionalFormatting>
  <conditionalFormatting sqref="N6:V6">
    <cfRule type="containsText" dxfId="11" priority="62" operator="containsText" text="High">
      <formula>NOT(ISERROR(SEARCH("High",N6)))</formula>
    </cfRule>
    <cfRule type="containsText" dxfId="10" priority="63" operator="containsText" text="Medium ">
      <formula>NOT(ISERROR(SEARCH("Medium ",N6)))</formula>
    </cfRule>
    <cfRule type="containsText" dxfId="9" priority="64" operator="containsText" text="Low">
      <formula>NOT(ISERROR(SEARCH("Low",N6)))</formula>
    </cfRule>
  </conditionalFormatting>
  <conditionalFormatting sqref="N51:V51">
    <cfRule type="containsText" dxfId="8" priority="48" operator="containsText" text="High">
      <formula>NOT(ISERROR(SEARCH("High",N51)))</formula>
    </cfRule>
    <cfRule type="containsText" dxfId="7" priority="49" operator="containsText" text="Medium ">
      <formula>NOT(ISERROR(SEARCH("Medium ",N51)))</formula>
    </cfRule>
    <cfRule type="containsText" dxfId="6" priority="50" operator="containsText" text="Low">
      <formula>NOT(ISERROR(SEARCH("Low",N51)))</formula>
    </cfRule>
  </conditionalFormatting>
  <conditionalFormatting sqref="N86:V86">
    <cfRule type="containsText" dxfId="5" priority="12" operator="containsText" text="High">
      <formula>NOT(ISERROR(SEARCH("High",N86)))</formula>
    </cfRule>
    <cfRule type="containsText" dxfId="4" priority="13" operator="containsText" text="Medium ">
      <formula>NOT(ISERROR(SEARCH("Medium ",N86)))</formula>
    </cfRule>
    <cfRule type="containsText" dxfId="3" priority="14" operator="containsText" text="Low">
      <formula>NOT(ISERROR(SEARCH("Low",N86)))</formula>
    </cfRule>
  </conditionalFormatting>
  <conditionalFormatting sqref="N237:V237">
    <cfRule type="containsText" dxfId="2" priority="1" operator="containsText" text="High">
      <formula>NOT(ISERROR(SEARCH("High",N237)))</formula>
    </cfRule>
    <cfRule type="containsText" dxfId="1" priority="2" operator="containsText" text="Medium ">
      <formula>NOT(ISERROR(SEARCH("Medium ",N237)))</formula>
    </cfRule>
    <cfRule type="containsText" dxfId="0" priority="3" operator="containsText" text="Low">
      <formula>NOT(ISERROR(SEARCH("Low",N237)))</formula>
    </cfRule>
  </conditionalFormatting>
  <dataValidations count="20">
    <dataValidation type="list" allowBlank="1" showInputMessage="1" showErrorMessage="1" sqref="Q7:Q21 Q23:Q28" xr:uid="{573C7CE9-5395-4D98-B600-BABA3A0E418E}">
      <formula1>"High,Medium,Low"</formula1>
    </dataValidation>
    <dataValidation type="list" allowBlank="1" showInputMessage="1" showErrorMessage="1" sqref="P7 P18" xr:uid="{0B753381-9E45-4CDD-A2B0-41109275F491}">
      <formula1>"Planned,Ongoing,Completed"</formula1>
    </dataValidation>
    <dataValidation type="list" allowBlank="1" showInputMessage="1" showErrorMessage="1" sqref="N7 N18" xr:uid="{E6B768EC-788F-4977-8939-82E39A2D5902}">
      <formula1>"Avoid,Reduce,Share,Accept"</formula1>
    </dataValidation>
    <dataValidation type="list" showInputMessage="1" showErrorMessage="1" sqref="K44:L49 K37:L40" xr:uid="{02A69A44-29AB-452C-8B82-3480EA74C862}">
      <formula1>"1,2,3,4"</formula1>
    </dataValidation>
    <dataValidation type="list" allowBlank="1" showInputMessage="1" showErrorMessage="1" sqref="I32:I37 K7:L18 K77:M78" xr:uid="{A765995D-0A4E-43B2-BB28-A8FA8269CE1A}">
      <formula1>"1,2,3,4"</formula1>
    </dataValidation>
    <dataValidation type="list" allowBlank="1" showInputMessage="1" showErrorMessage="1" sqref="K42:L42 K21 L24:L28 L30" xr:uid="{6804BA21-22C4-4D37-8B68-123FFD456648}">
      <formula1>"1, 2, 3, 4"</formula1>
    </dataValidation>
    <dataValidation type="list" showInputMessage="1" showErrorMessage="1" sqref="K32:L36" xr:uid="{B46AF06A-130C-4BF6-B408-2628F3C56153}">
      <formula1>"1, 2, 3, 4"</formula1>
    </dataValidation>
    <dataValidation type="list" allowBlank="1" showInputMessage="1" showErrorMessage="1" sqref="E64:F73 F32:F40 E75:F75 E77:F78" xr:uid="{0C28ADB2-A185-433B-B757-8B9A17AA5916}">
      <formula1>"Yes, No"</formula1>
    </dataValidation>
    <dataValidation type="list" allowBlank="1" showInputMessage="1" showErrorMessage="1" sqref="F7:F18 E238:F238" xr:uid="{F0A72984-C08D-4BB4-B94D-C794E0945EE5}">
      <formula1>"Yes,No"</formula1>
    </dataValidation>
    <dataValidation allowBlank="1" showInputMessage="1" showErrorMessage="1" sqref="G84:M84 G52:M62 D24:G28 K30 K20:L20 K24:K28 G82:M82 E74:M74 G75:M75 E189:F193 E228:F233 E147:F152 E104:F106 E108:F112 E117:F119 E132:F133 E195:F203 E136:F138 E162:F165 E167:F172 E174:F179 E220:F225 E154:F160 E181:F186 E205:F209 E213:F216 E121:F130 E140:F144 E97:F102 E245:F249 E239:F243 G77:G78" xr:uid="{55B7FD31-9F69-4786-B0DB-BFFA119F6CEC}"/>
    <dataValidation type="list" allowBlank="1" showInputMessage="1" showErrorMessage="1" prompt="Choose the applicable option from the dropdown" sqref="F42 F20:F21 F30 F44:F49 E227:F227 E113:F115 E217:F219 E87:F95 E234:F236 E134:F134 E212:F212" xr:uid="{5207A98D-0669-4AB4-A7E1-463CAC793626}">
      <formula1>"Yes,No"</formula1>
    </dataValidation>
    <dataValidation allowBlank="1" showInputMessage="1" showErrorMessage="1" prompt="Provide Retention Period and Basis" sqref="G45:G49" xr:uid="{A24FCFC7-98C0-4C95-A63C-3D3604275C20}"/>
    <dataValidation allowBlank="1" showInputMessage="1" showErrorMessage="1" prompt="e.g., easy opt-in, hard opt-out, unwanted data retention, undisclosed data sharing, pre-checked box." sqref="G30" xr:uid="{D741711B-9065-43EF-A91A-9C78D92894AD}"/>
    <dataValidation type="list" allowBlank="1" showInputMessage="1" showErrorMessage="1" prompt="Choose the applicable option from the dropdown" sqref="E84:F84 E80:F80 E82:F82" xr:uid="{DE032092-AE91-4547-A563-061E74064C02}">
      <formula1>"Yes,No,N/A"</formula1>
    </dataValidation>
    <dataValidation type="list" allowBlank="1" showInputMessage="1" showErrorMessage="1" sqref="E52:F62" xr:uid="{9CABB21E-B052-4B79-BF33-34087A91484A}">
      <formula1>"Yes, No,N/A"</formula1>
    </dataValidation>
    <dataValidation type="custom" allowBlank="1" showInputMessage="1" showErrorMessage="1" errorTitle="Not Applicable" error="This field applies only if processing is delegated to a PIP under a outsourcing/subcontracting agreement. Otherwise, enter &quot;N/A&quot; or leave blank." prompt="Enter details only if applicable. Otherwise, enter &quot;N/A&quot; or leave blank." sqref="G205:G209" xr:uid="{58CA8DA0-AD10-4C7A-9304-0770A4C333F4}">
      <formula1>OR($F$121="Yes", G205="N/A", G205="")</formula1>
    </dataValidation>
    <dataValidation type="custom" allowBlank="1" showInputMessage="1" showErrorMessage="1" errorTitle="Not Applicable" error="This field applies only if processing is delegated to a PIP under a outsourcing/subcontracting agreement. Otherwise, enter &quot;N/A&quot; or leave blank." prompt="Enter details only if applicable. Otherwise, enter &quot;N/A&quot; or leave blank." sqref="G189:G193 G195:G203" xr:uid="{D94B1921-80E7-4231-AC45-76669809150C}">
      <formula1>OR($F$104="Yes", G189="N/A", G189="")</formula1>
    </dataValidation>
    <dataValidation type="list" allowBlank="1" showInputMessage="1" showErrorMessage="1" prompt="Choose the applicable option from the dropdown" sqref="E187 E204" xr:uid="{AA1AAC8C-3385-48F1-8729-2C558E33E56E}">
      <formula1>"Yes, No, N/A"</formula1>
    </dataValidation>
    <dataValidation type="custom" allowBlank="1" showInputMessage="1" showErrorMessage="1" errorTitle="Not Applicable" error="This field applies only if there is any cross-border transfer of data. Otherwise, enter &quot;N/A&quot; or leave blank." prompt="Enter details only if applicable. Otherwise, enter &quot;N/A&quot; or leave blank." sqref="G238:G249" xr:uid="{21A3BCA3-C79E-4445-8C1E-972C057FA602}">
      <formula1>OR($H$3="Yes", G238="N/A", G238="")</formula1>
    </dataValidation>
    <dataValidation type="list" allowBlank="1" showInputMessage="1" showErrorMessage="1" sqref="E244:F244" xr:uid="{8B0D3D8E-6038-466B-AD59-A8E372B1488C}">
      <formula1>"Yes,No,N/A"</formula1>
    </dataValidation>
  </dataValidations>
  <pageMargins left="0.25" right="0.25" top="0.75" bottom="0.75" header="0.3" footer="0.3"/>
  <pageSetup scale="16"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E4DD-19DB-42E4-B9EA-29589D55D995}">
  <sheetPr>
    <tabColor theme="3" tint="0.749992370372631"/>
  </sheetPr>
  <dimension ref="B2:Q31"/>
  <sheetViews>
    <sheetView showGridLines="0" zoomScale="79" zoomScaleNormal="90" workbookViewId="0">
      <selection activeCell="M6" sqref="M6"/>
    </sheetView>
  </sheetViews>
  <sheetFormatPr defaultColWidth="9.125" defaultRowHeight="14.25"/>
  <cols>
    <col min="1" max="1" width="7" style="18" customWidth="1"/>
    <col min="2" max="3" width="2.875" style="18" customWidth="1"/>
    <col min="4" max="7" width="6.75" style="18" customWidth="1"/>
    <col min="8" max="8" width="8.75" style="18" customWidth="1"/>
    <col min="9" max="10" width="9.125" style="18"/>
    <col min="11" max="11" width="13.25" style="18" customWidth="1"/>
    <col min="12" max="16384" width="9.125" style="18"/>
  </cols>
  <sheetData>
    <row r="2" spans="2:17" ht="24.95" customHeight="1">
      <c r="D2" s="493" t="s">
        <v>490</v>
      </c>
      <c r="E2" s="493"/>
      <c r="F2" s="493"/>
      <c r="G2" s="493"/>
    </row>
    <row r="3" spans="2:17" ht="33.6" customHeight="1">
      <c r="B3" s="496" t="s">
        <v>123</v>
      </c>
      <c r="C3" s="1">
        <v>4</v>
      </c>
      <c r="D3" s="170">
        <v>4</v>
      </c>
      <c r="E3" s="171">
        <v>8</v>
      </c>
      <c r="F3" s="172">
        <v>12</v>
      </c>
      <c r="G3" s="173">
        <v>16</v>
      </c>
      <c r="J3" s="166"/>
      <c r="K3" s="166"/>
    </row>
    <row r="4" spans="2:17" ht="33.6" customHeight="1">
      <c r="B4" s="496"/>
      <c r="C4" s="1">
        <v>3</v>
      </c>
      <c r="D4" s="174">
        <v>3</v>
      </c>
      <c r="E4" s="175">
        <v>6</v>
      </c>
      <c r="F4" s="176">
        <v>9</v>
      </c>
      <c r="G4" s="177">
        <v>12</v>
      </c>
      <c r="J4" s="94"/>
      <c r="K4" s="94"/>
    </row>
    <row r="5" spans="2:17" ht="33.6" customHeight="1">
      <c r="B5" s="496"/>
      <c r="C5" s="1">
        <v>2</v>
      </c>
      <c r="D5" s="174">
        <v>2</v>
      </c>
      <c r="E5" s="178">
        <v>4</v>
      </c>
      <c r="F5" s="175">
        <v>6</v>
      </c>
      <c r="G5" s="179">
        <v>8</v>
      </c>
      <c r="J5" s="94"/>
      <c r="K5" s="94"/>
    </row>
    <row r="6" spans="2:17" ht="33.6" customHeight="1">
      <c r="B6" s="496"/>
      <c r="C6" s="1">
        <v>1</v>
      </c>
      <c r="D6" s="180">
        <v>1</v>
      </c>
      <c r="E6" s="181">
        <v>2</v>
      </c>
      <c r="F6" s="181">
        <v>3</v>
      </c>
      <c r="G6" s="182">
        <v>4</v>
      </c>
      <c r="J6" s="94"/>
      <c r="K6" s="94"/>
    </row>
    <row r="7" spans="2:17" ht="18.600000000000001" customHeight="1">
      <c r="D7" s="183">
        <v>1</v>
      </c>
      <c r="E7" s="183">
        <v>2</v>
      </c>
      <c r="F7" s="183">
        <v>3</v>
      </c>
      <c r="G7" s="183">
        <v>4</v>
      </c>
      <c r="J7" s="167"/>
      <c r="K7" s="94"/>
    </row>
    <row r="8" spans="2:17" ht="15">
      <c r="D8" s="481" t="s">
        <v>124</v>
      </c>
      <c r="E8" s="481"/>
      <c r="F8" s="481"/>
      <c r="G8" s="481"/>
    </row>
    <row r="10" spans="2:17" ht="18" customHeight="1">
      <c r="B10" s="497" t="s">
        <v>123</v>
      </c>
      <c r="C10" s="498"/>
      <c r="D10" s="498"/>
      <c r="E10" s="498"/>
      <c r="F10" s="498"/>
      <c r="G10" s="498"/>
      <c r="H10" s="498"/>
      <c r="I10" s="498"/>
      <c r="J10" s="498"/>
      <c r="K10" s="498"/>
      <c r="L10" s="498"/>
      <c r="M10" s="498"/>
      <c r="N10" s="498"/>
      <c r="O10" s="498"/>
      <c r="P10" s="498"/>
      <c r="Q10" s="499"/>
    </row>
    <row r="11" spans="2:17" ht="15">
      <c r="B11" s="500" t="s">
        <v>491</v>
      </c>
      <c r="C11" s="501"/>
      <c r="D11" s="502" t="s">
        <v>492</v>
      </c>
      <c r="E11" s="502"/>
      <c r="F11" s="502" t="s">
        <v>7</v>
      </c>
      <c r="G11" s="502"/>
      <c r="H11" s="502"/>
      <c r="I11" s="502"/>
      <c r="J11" s="502"/>
      <c r="K11" s="502"/>
      <c r="L11" s="502"/>
      <c r="M11" s="502"/>
      <c r="N11" s="502"/>
      <c r="O11" s="502"/>
      <c r="P11" s="502"/>
      <c r="Q11" s="503"/>
    </row>
    <row r="12" spans="2:17">
      <c r="B12" s="490">
        <v>1</v>
      </c>
      <c r="C12" s="442"/>
      <c r="D12" s="442" t="s">
        <v>493</v>
      </c>
      <c r="E12" s="442"/>
      <c r="F12" s="482" t="s">
        <v>494</v>
      </c>
      <c r="G12" s="482"/>
      <c r="H12" s="482"/>
      <c r="I12" s="482"/>
      <c r="J12" s="482"/>
      <c r="K12" s="482"/>
      <c r="L12" s="482"/>
      <c r="M12" s="482"/>
      <c r="N12" s="482"/>
      <c r="O12" s="482"/>
      <c r="P12" s="482"/>
      <c r="Q12" s="483"/>
    </row>
    <row r="13" spans="2:17">
      <c r="B13" s="490">
        <v>2</v>
      </c>
      <c r="C13" s="442"/>
      <c r="D13" s="442" t="s">
        <v>495</v>
      </c>
      <c r="E13" s="442"/>
      <c r="F13" s="482" t="s">
        <v>496</v>
      </c>
      <c r="G13" s="482"/>
      <c r="H13" s="482"/>
      <c r="I13" s="482"/>
      <c r="J13" s="482"/>
      <c r="K13" s="482"/>
      <c r="L13" s="482"/>
      <c r="M13" s="482"/>
      <c r="N13" s="482"/>
      <c r="O13" s="482"/>
      <c r="P13" s="482"/>
      <c r="Q13" s="483"/>
    </row>
    <row r="14" spans="2:17">
      <c r="B14" s="490">
        <v>3</v>
      </c>
      <c r="C14" s="442"/>
      <c r="D14" s="442" t="s">
        <v>497</v>
      </c>
      <c r="E14" s="442"/>
      <c r="F14" s="482" t="s">
        <v>498</v>
      </c>
      <c r="G14" s="482"/>
      <c r="H14" s="482"/>
      <c r="I14" s="482"/>
      <c r="J14" s="482"/>
      <c r="K14" s="482"/>
      <c r="L14" s="482"/>
      <c r="M14" s="482"/>
      <c r="N14" s="482"/>
      <c r="O14" s="482"/>
      <c r="P14" s="482"/>
      <c r="Q14" s="483"/>
    </row>
    <row r="15" spans="2:17">
      <c r="B15" s="491">
        <v>4</v>
      </c>
      <c r="C15" s="492"/>
      <c r="D15" s="492" t="s">
        <v>499</v>
      </c>
      <c r="E15" s="492"/>
      <c r="F15" s="484" t="s">
        <v>500</v>
      </c>
      <c r="G15" s="484"/>
      <c r="H15" s="484"/>
      <c r="I15" s="484"/>
      <c r="J15" s="484"/>
      <c r="K15" s="484"/>
      <c r="L15" s="484"/>
      <c r="M15" s="484"/>
      <c r="N15" s="484"/>
      <c r="O15" s="484"/>
      <c r="P15" s="484"/>
      <c r="Q15" s="485"/>
    </row>
    <row r="17" spans="2:12" ht="15">
      <c r="B17" s="494" t="s">
        <v>124</v>
      </c>
      <c r="C17" s="495"/>
      <c r="D17" s="495"/>
      <c r="E17" s="495"/>
      <c r="F17" s="495"/>
      <c r="G17" s="495"/>
      <c r="H17" s="495"/>
      <c r="I17" s="495"/>
      <c r="J17" s="495"/>
    </row>
    <row r="18" spans="2:12" ht="15">
      <c r="B18" s="486" t="s">
        <v>491</v>
      </c>
      <c r="C18" s="487"/>
      <c r="D18" s="488" t="s">
        <v>492</v>
      </c>
      <c r="E18" s="488"/>
      <c r="F18" s="488" t="s">
        <v>7</v>
      </c>
      <c r="G18" s="488"/>
      <c r="H18" s="488"/>
      <c r="I18" s="488"/>
      <c r="J18" s="489"/>
    </row>
    <row r="19" spans="2:12">
      <c r="B19" s="490">
        <v>1</v>
      </c>
      <c r="C19" s="442"/>
      <c r="D19" s="442" t="s">
        <v>501</v>
      </c>
      <c r="E19" s="442"/>
      <c r="F19" s="482" t="s">
        <v>502</v>
      </c>
      <c r="G19" s="482"/>
      <c r="H19" s="482"/>
      <c r="I19" s="482"/>
      <c r="J19" s="483"/>
    </row>
    <row r="20" spans="2:12">
      <c r="B20" s="490">
        <v>2</v>
      </c>
      <c r="C20" s="442"/>
      <c r="D20" s="442" t="s">
        <v>503</v>
      </c>
      <c r="E20" s="442"/>
      <c r="F20" s="482" t="s">
        <v>504</v>
      </c>
      <c r="G20" s="482"/>
      <c r="H20" s="482"/>
      <c r="I20" s="482"/>
      <c r="J20" s="483"/>
    </row>
    <row r="21" spans="2:12">
      <c r="B21" s="490">
        <v>3</v>
      </c>
      <c r="C21" s="442"/>
      <c r="D21" s="442" t="s">
        <v>505</v>
      </c>
      <c r="E21" s="442"/>
      <c r="F21" s="482" t="s">
        <v>506</v>
      </c>
      <c r="G21" s="482"/>
      <c r="H21" s="482"/>
      <c r="I21" s="482"/>
      <c r="J21" s="483"/>
    </row>
    <row r="22" spans="2:12">
      <c r="B22" s="491">
        <v>4</v>
      </c>
      <c r="C22" s="492"/>
      <c r="D22" s="492" t="s">
        <v>507</v>
      </c>
      <c r="E22" s="492"/>
      <c r="F22" s="484" t="s">
        <v>508</v>
      </c>
      <c r="G22" s="484"/>
      <c r="H22" s="484"/>
      <c r="I22" s="484"/>
      <c r="J22" s="485"/>
    </row>
    <row r="25" spans="2:12" ht="17.45" customHeight="1"/>
    <row r="26" spans="2:12" ht="19.5" customHeight="1">
      <c r="I26" s="481"/>
      <c r="J26" s="481"/>
      <c r="K26" s="481"/>
      <c r="L26" s="481"/>
    </row>
    <row r="27" spans="2:12" ht="15">
      <c r="J27" s="166"/>
      <c r="K27" s="166"/>
    </row>
    <row r="28" spans="2:12">
      <c r="J28" s="94"/>
      <c r="K28" s="94"/>
    </row>
    <row r="29" spans="2:12">
      <c r="J29" s="94"/>
      <c r="K29" s="94"/>
    </row>
    <row r="30" spans="2:12">
      <c r="C30" s="169"/>
      <c r="J30" s="94"/>
      <c r="K30" s="94"/>
    </row>
    <row r="31" spans="2:12">
      <c r="J31" s="167"/>
      <c r="K31" s="94"/>
    </row>
  </sheetData>
  <sheetProtection algorithmName="SHA-512" hashValue="vLYr4dMlbQjrR4Ns3XTwVad8XXSDQg6sz+mU6GHptEmNfgWh0W9nd9JRFcBsiq6AET4BPcfNbxfwv5wVAZeNiQ==" saltValue="Ft9YqtNQd2vrsYLKIshiUQ==" spinCount="100000" sheet="1" objects="1" scenarios="1"/>
  <mergeCells count="36">
    <mergeCell ref="D14:E14"/>
    <mergeCell ref="F11:Q11"/>
    <mergeCell ref="F12:Q12"/>
    <mergeCell ref="F13:Q13"/>
    <mergeCell ref="D12:E12"/>
    <mergeCell ref="D13:E13"/>
    <mergeCell ref="D15:E15"/>
    <mergeCell ref="D2:G2"/>
    <mergeCell ref="D8:G8"/>
    <mergeCell ref="F15:Q15"/>
    <mergeCell ref="B19:C19"/>
    <mergeCell ref="F19:J19"/>
    <mergeCell ref="B17:J17"/>
    <mergeCell ref="B15:C15"/>
    <mergeCell ref="B3:B6"/>
    <mergeCell ref="B10:Q10"/>
    <mergeCell ref="F14:Q14"/>
    <mergeCell ref="B12:C12"/>
    <mergeCell ref="B13:C13"/>
    <mergeCell ref="B14:C14"/>
    <mergeCell ref="B11:C11"/>
    <mergeCell ref="D11:E11"/>
    <mergeCell ref="I26:L26"/>
    <mergeCell ref="F20:J20"/>
    <mergeCell ref="F21:J21"/>
    <mergeCell ref="F22:J22"/>
    <mergeCell ref="B18:C18"/>
    <mergeCell ref="D18:E18"/>
    <mergeCell ref="F18:J18"/>
    <mergeCell ref="B20:C20"/>
    <mergeCell ref="B21:C21"/>
    <mergeCell ref="B22:C22"/>
    <mergeCell ref="D19:E19"/>
    <mergeCell ref="D20:E20"/>
    <mergeCell ref="D21:E21"/>
    <mergeCell ref="D22:E22"/>
  </mergeCells>
  <pageMargins left="0.7" right="0.7" top="0.75" bottom="0.75" header="0.3" footer="0.3"/>
  <pageSetup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3088-36F7-4ECF-9A72-936D46311708}">
  <sheetPr>
    <tabColor theme="2" tint="-9.9978637043366805E-2"/>
  </sheetPr>
  <dimension ref="B2:I12"/>
  <sheetViews>
    <sheetView showGridLines="0" workbookViewId="0">
      <selection activeCell="G10" sqref="G10:H10"/>
    </sheetView>
  </sheetViews>
  <sheetFormatPr defaultColWidth="9.125" defaultRowHeight="14.25"/>
  <cols>
    <col min="1" max="1" width="9.125" style="18"/>
    <col min="2" max="2" width="4.75" style="18" customWidth="1"/>
    <col min="3" max="3" width="14.875" style="18" customWidth="1"/>
    <col min="4" max="4" width="40.25" style="18" customWidth="1"/>
    <col min="5" max="5" width="34.125" style="18" customWidth="1"/>
    <col min="6" max="6" width="23.875" style="18" customWidth="1"/>
    <col min="7" max="7" width="15.25" style="18" customWidth="1"/>
    <col min="8" max="8" width="16.25" style="18" customWidth="1"/>
    <col min="9" max="9" width="5.25" style="18" customWidth="1"/>
    <col min="10" max="16384" width="9.125" style="18"/>
  </cols>
  <sheetData>
    <row r="2" spans="2:9">
      <c r="B2" s="15"/>
      <c r="C2" s="16"/>
      <c r="D2" s="16"/>
      <c r="E2" s="16"/>
      <c r="F2" s="16"/>
      <c r="G2" s="16"/>
      <c r="H2" s="16"/>
      <c r="I2" s="17"/>
    </row>
    <row r="3" spans="2:9">
      <c r="B3" s="19"/>
      <c r="I3" s="20"/>
    </row>
    <row r="4" spans="2:9">
      <c r="B4" s="19"/>
      <c r="I4" s="20"/>
    </row>
    <row r="5" spans="2:9" ht="18">
      <c r="B5" s="19"/>
      <c r="C5" s="504" t="s">
        <v>509</v>
      </c>
      <c r="D5" s="504"/>
      <c r="E5" s="504"/>
      <c r="F5" s="504"/>
      <c r="G5" s="504"/>
      <c r="H5" s="504"/>
      <c r="I5" s="20"/>
    </row>
    <row r="6" spans="2:9" ht="12.75" customHeight="1">
      <c r="B6" s="19"/>
      <c r="C6" s="168"/>
      <c r="D6" s="168"/>
      <c r="E6" s="168"/>
      <c r="F6" s="168"/>
      <c r="G6" s="168"/>
      <c r="H6" s="168"/>
      <c r="I6" s="20"/>
    </row>
    <row r="7" spans="2:9" ht="23.25" customHeight="1">
      <c r="B7" s="19"/>
      <c r="C7" s="184"/>
      <c r="D7" s="185" t="s">
        <v>510</v>
      </c>
      <c r="E7" s="185" t="s">
        <v>511</v>
      </c>
      <c r="F7" s="185" t="s">
        <v>512</v>
      </c>
      <c r="G7" s="505" t="s">
        <v>513</v>
      </c>
      <c r="H7" s="505"/>
      <c r="I7" s="20"/>
    </row>
    <row r="8" spans="2:9" ht="50.25" customHeight="1">
      <c r="B8" s="19"/>
      <c r="C8" s="186" t="s">
        <v>514</v>
      </c>
      <c r="D8" s="133" t="s">
        <v>515</v>
      </c>
      <c r="E8" s="187"/>
      <c r="F8" s="187"/>
      <c r="G8" s="506"/>
      <c r="H8" s="506"/>
      <c r="I8" s="20"/>
    </row>
    <row r="9" spans="2:9" ht="50.25" customHeight="1">
      <c r="B9" s="19"/>
      <c r="C9" s="186" t="s">
        <v>516</v>
      </c>
      <c r="D9" s="133" t="s">
        <v>517</v>
      </c>
      <c r="E9" s="187"/>
      <c r="F9" s="187"/>
      <c r="G9" s="506"/>
      <c r="H9" s="506"/>
      <c r="I9" s="20"/>
    </row>
    <row r="10" spans="2:9" ht="50.25" customHeight="1">
      <c r="B10" s="19"/>
      <c r="C10" s="186" t="s">
        <v>518</v>
      </c>
      <c r="D10" s="187" t="s">
        <v>519</v>
      </c>
      <c r="E10" s="187"/>
      <c r="F10" s="187"/>
      <c r="G10" s="506"/>
      <c r="H10" s="506"/>
      <c r="I10" s="20"/>
    </row>
    <row r="11" spans="2:9" ht="21" customHeight="1">
      <c r="B11" s="19"/>
      <c r="I11" s="20"/>
    </row>
    <row r="12" spans="2:9" ht="21" customHeight="1">
      <c r="B12" s="21"/>
      <c r="C12" s="22"/>
      <c r="D12" s="22"/>
      <c r="E12" s="22"/>
      <c r="F12" s="22"/>
      <c r="G12" s="22"/>
      <c r="H12" s="22"/>
      <c r="I12" s="23"/>
    </row>
  </sheetData>
  <sheetProtection algorithmName="SHA-512" hashValue="2u1sKIwdgtgg989U3J2gVJlw4UuPjgj1Np6zYR7fyRg7GegpC78Mh9Aw5LDa87eAC6CfCAoDZctDT1rQeHV+Uw==" saltValue="MXOi4WHjgNuRNFsWxeeWMg==" spinCount="100000" sheet="1" objects="1" scenarios="1"/>
  <protectedRanges>
    <protectedRange sqref="E8:H10" name="Range1"/>
    <protectedRange sqref="D8:D10" name="Range2"/>
  </protectedRanges>
  <mergeCells count="5">
    <mergeCell ref="C5:H5"/>
    <mergeCell ref="G7:H7"/>
    <mergeCell ref="G8:H8"/>
    <mergeCell ref="G9:H9"/>
    <mergeCell ref="G10:H10"/>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0A3A80E46853428AF999FF3106C662" ma:contentTypeVersion="3" ma:contentTypeDescription="Create a new document." ma:contentTypeScope="" ma:versionID="9c960118d0f552069b043fcbd41487e6">
  <xsd:schema xmlns:xsd="http://www.w3.org/2001/XMLSchema" xmlns:xs="http://www.w3.org/2001/XMLSchema" xmlns:p="http://schemas.microsoft.com/office/2006/metadata/properties" xmlns:ns2="dd9ce0d1-8a55-4e35-a6f6-375f46ba5c66" targetNamespace="http://schemas.microsoft.com/office/2006/metadata/properties" ma:root="true" ma:fieldsID="beb470ef9a51aec27b1d53dc4d7e9456" ns2:_="">
    <xsd:import namespace="dd9ce0d1-8a55-4e35-a6f6-375f46ba5c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9ce0d1-8a55-4e35-a6f6-375f46ba5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6F4E92-5B67-4F3F-BF68-AEDAACD59B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9ce0d1-8a55-4e35-a6f6-375f46ba5c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CECB23-BF2E-4726-A1A0-C94EC197CA73}">
  <ds:schemaRefs>
    <ds:schemaRef ds:uri="http://www.w3.org/XML/1998/namespace"/>
    <ds:schemaRef ds:uri="95e92b74-ea85-4f9e-8035-e2f415abdb3e"/>
    <ds:schemaRef ds:uri="http://purl.org/dc/dcmitype/"/>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4A058D22-0864-4356-B7C4-104EE5CEAC08}">
  <ds:schemaRefs>
    <ds:schemaRef ds:uri="http://schemas.microsoft.com/sharepoint/v3/contenttype/forms"/>
  </ds:schemaRefs>
</ds:datastoreItem>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Page</vt:lpstr>
      <vt:lpstr>Project-System Description </vt:lpstr>
      <vt:lpstr>P1 Threshold Analysis</vt:lpstr>
      <vt:lpstr>P1 Stakeholder Engagement</vt:lpstr>
      <vt:lpstr>P2 Data Mapping</vt:lpstr>
      <vt:lpstr>P3 Gen Data Privacy Principles</vt:lpstr>
      <vt:lpstr>P3 Data Subject Rights</vt:lpstr>
      <vt:lpstr>P3 Data Security</vt:lpstr>
      <vt:lpstr>P3 Cross-border Data Flows</vt:lpstr>
      <vt:lpstr>Risk Treatment Plan</vt:lpstr>
      <vt:lpstr>Mitigation Map</vt:lpstr>
      <vt:lpstr>Privacy Risk Map</vt:lpstr>
      <vt:lpstr>Sign-Off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Mediavillo, Veronica C</dc:creator>
  <cp:keywords/>
  <dc:description/>
  <cp:lastModifiedBy>Calzado, Marilaine C</cp:lastModifiedBy>
  <cp:revision/>
  <dcterms:created xsi:type="dcterms:W3CDTF">2025-02-27T06:37:04Z</dcterms:created>
  <dcterms:modified xsi:type="dcterms:W3CDTF">2026-05-11T09:59:56Z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0x010100C80A3A80E46853428AF999FF3106C662</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{"FileActivityType":"9","FileActivityTimeStamp":"2025-04-28T08:38:11.353Z","FileActivityUsersOnPage":[{"DisplayName":"Mediavillo, Veronica C","Id":"vmediavillo@kpmg.com"},{"DisplayName":"Espanola, Arebell","Id":"aespanola@kpmg.com"},{"DisplayName":"Mendoza, Rodolfo Jr D","Id":"rdmendoza1@kpmg.com"},{"DisplayName":"Hilario, Jessie Josuah P","Id":"jphilario@kpmg.com"}],"FileActivityNavigationId":null}</vt:lpwstr>
  </property>
  <property fmtid="{D5CDD505-2E9C-101B-9397-08002B2CF9AE}" pid="7" name="TriggerFlowInfo">
    <vt:lpwstr/>
  </property>
</Properties>
</file>