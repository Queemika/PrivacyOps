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app.xml" ContentType="application/vnd.openxmlformats-officedocument.extended-properties+xml"/>
  <Override PartName="/docProps/custom.xml" ContentType="application/vnd.openxmlformats-officedocument.custom-properties+xml"/>
  <Override PartName="/xl/tables/table2.xml" ContentType="application/vnd.openxmlformats-officedocument.spreadsheetml.table+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onedrive-global.kpmg.com/personal/vmediavillo_kpmg_com/Documents/00 Data Privacy Projects/PMP/"/>
    </mc:Choice>
  </mc:AlternateContent>
  <xr:revisionPtr revIDLastSave="4220" documentId="8_{57246EFF-8211-4F63-A0C3-14EDDB749517}" xr6:coauthVersionLast="47" xr6:coauthVersionMax="47" xr10:uidLastSave="{C7D6709E-3CB6-431B-B8F2-6114006E9754}"/>
  <bookViews>
    <workbookView xWindow="-110" yWindow="-110" windowWidth="19420" windowHeight="10300" xr2:uid="{00000000-000D-0000-FFFF-FFFF00000000}"/>
  </bookViews>
  <sheets>
    <sheet name="Rating Guide" sheetId="17" r:id="rId1"/>
    <sheet name="Scoreboard " sheetId="19" r:id="rId2"/>
    <sheet name="PRADAR" sheetId="16" r:id="rId3"/>
    <sheet name="DRL" sheetId="1" r:id="rId4"/>
    <sheet name="Reference" sheetId="12" r:id="rId5"/>
  </sheets>
  <definedNames>
    <definedName name="_xlnm._FilterDatabase" localSheetId="2" hidden="1">PRADAR!$B$3:$W$811</definedName>
    <definedName name="RatingLabel">#REF!</definedName>
    <definedName name="RatingLabels">#REF!</definedName>
    <definedName name="RatingLabelss">#REF!</definedName>
    <definedName name="Tab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 l="1"/>
  <c r="C15" i="1"/>
  <c r="C12" i="1"/>
  <c r="D16" i="1"/>
  <c r="D15" i="1"/>
  <c r="D12" i="1"/>
  <c r="E16" i="1"/>
  <c r="E15" i="1"/>
  <c r="E12" i="1"/>
  <c r="F16" i="1"/>
  <c r="F15" i="1"/>
  <c r="F12" i="1"/>
  <c r="F8" i="1"/>
  <c r="F9" i="1"/>
  <c r="F10" i="1"/>
  <c r="F11" i="1"/>
  <c r="F13" i="1"/>
  <c r="F7" i="1"/>
  <c r="F5" i="1"/>
  <c r="E8" i="1"/>
  <c r="E9" i="1"/>
  <c r="E10" i="1"/>
  <c r="E11" i="1"/>
  <c r="E13" i="1"/>
  <c r="E7" i="1"/>
  <c r="E5" i="1"/>
  <c r="D8" i="1"/>
  <c r="D9" i="1"/>
  <c r="D10" i="1"/>
  <c r="D11" i="1"/>
  <c r="D13" i="1"/>
  <c r="D7" i="1"/>
  <c r="D5" i="1"/>
  <c r="C7" i="1"/>
  <c r="C8" i="1"/>
  <c r="C9" i="1"/>
  <c r="C10" i="1"/>
  <c r="C11" i="1"/>
  <c r="C13" i="1"/>
  <c r="C5" i="1"/>
  <c r="C2" i="19"/>
  <c r="C8" i="19"/>
  <c r="C9" i="19"/>
  <c r="C10" i="19"/>
  <c r="C11" i="19"/>
  <c r="C12" i="19"/>
  <c r="C13" i="19"/>
  <c r="C14" i="19"/>
  <c r="C15" i="19"/>
  <c r="C16" i="19"/>
  <c r="C7" i="19"/>
  <c r="W23" i="16"/>
  <c r="Q23" i="16"/>
  <c r="Q13" i="16"/>
  <c r="W13" i="16"/>
  <c r="W18" i="16"/>
  <c r="Q18" i="16"/>
  <c r="W17" i="16"/>
  <c r="Q17" i="16"/>
  <c r="W16" i="16"/>
  <c r="Q16" i="16"/>
  <c r="W14" i="16"/>
  <c r="Q14" i="16"/>
  <c r="Q10" i="16"/>
  <c r="W10" i="16"/>
  <c r="F14" i="1"/>
  <c r="F6" i="1"/>
  <c r="D14" i="1"/>
  <c r="C2" i="1"/>
  <c r="C14" i="1"/>
  <c r="C6" i="1"/>
  <c r="C4" i="1"/>
  <c r="W811" i="16"/>
  <c r="Q811" i="16"/>
  <c r="W810" i="16"/>
  <c r="Q810" i="16"/>
  <c r="W809" i="16"/>
  <c r="Q809" i="16"/>
  <c r="W808" i="16"/>
  <c r="Q808" i="16"/>
  <c r="W807" i="16"/>
  <c r="Q807" i="16"/>
  <c r="W806" i="16"/>
  <c r="Q806" i="16"/>
  <c r="W805" i="16"/>
  <c r="Q805" i="16"/>
  <c r="W804" i="16"/>
  <c r="Q804" i="16"/>
  <c r="W803" i="16"/>
  <c r="Q803" i="16"/>
  <c r="W802" i="16"/>
  <c r="Q802" i="16"/>
  <c r="W801" i="16"/>
  <c r="Q801" i="16"/>
  <c r="W800" i="16"/>
  <c r="Q800" i="16"/>
  <c r="W799" i="16"/>
  <c r="Q799" i="16"/>
  <c r="W798" i="16"/>
  <c r="Q798" i="16"/>
  <c r="W797" i="16"/>
  <c r="Q797" i="16"/>
  <c r="W796" i="16"/>
  <c r="Q796" i="16"/>
  <c r="W795" i="16"/>
  <c r="Q795" i="16"/>
  <c r="W794" i="16"/>
  <c r="Q794" i="16"/>
  <c r="W793" i="16"/>
  <c r="Q793" i="16"/>
  <c r="W792" i="16"/>
  <c r="Q792" i="16"/>
  <c r="W791" i="16"/>
  <c r="Q791" i="16"/>
  <c r="W790" i="16"/>
  <c r="Q790" i="16"/>
  <c r="W789" i="16"/>
  <c r="Q789" i="16"/>
  <c r="W788" i="16"/>
  <c r="Q788" i="16"/>
  <c r="W787" i="16"/>
  <c r="Q787" i="16"/>
  <c r="W786" i="16"/>
  <c r="Q786" i="16"/>
  <c r="W785" i="16"/>
  <c r="Q785" i="16"/>
  <c r="W784" i="16"/>
  <c r="Q784" i="16"/>
  <c r="W783" i="16"/>
  <c r="Q783" i="16"/>
  <c r="W782" i="16"/>
  <c r="Q782" i="16"/>
  <c r="W781" i="16"/>
  <c r="Q781" i="16"/>
  <c r="W780" i="16"/>
  <c r="Q780" i="16"/>
  <c r="W779" i="16"/>
  <c r="Q779" i="16"/>
  <c r="W778" i="16"/>
  <c r="Q778" i="16"/>
  <c r="W777" i="16"/>
  <c r="Q777" i="16"/>
  <c r="W776" i="16"/>
  <c r="Q776" i="16"/>
  <c r="W775" i="16"/>
  <c r="Q775" i="16"/>
  <c r="W774" i="16"/>
  <c r="Q774" i="16"/>
  <c r="W773" i="16"/>
  <c r="Q773" i="16"/>
  <c r="W772" i="16"/>
  <c r="Q772" i="16"/>
  <c r="W771" i="16"/>
  <c r="Q771" i="16"/>
  <c r="W770" i="16"/>
  <c r="Q770" i="16"/>
  <c r="W769" i="16"/>
  <c r="Q769" i="16"/>
  <c r="W768" i="16"/>
  <c r="Q768" i="16"/>
  <c r="W767" i="16"/>
  <c r="Q767" i="16"/>
  <c r="W766" i="16"/>
  <c r="Q766" i="16"/>
  <c r="W765" i="16"/>
  <c r="Q765" i="16"/>
  <c r="W764" i="16"/>
  <c r="Q764" i="16"/>
  <c r="W763" i="16"/>
  <c r="Q763" i="16"/>
  <c r="W762" i="16"/>
  <c r="Q762" i="16"/>
  <c r="W761" i="16"/>
  <c r="Q761" i="16"/>
  <c r="W760" i="16"/>
  <c r="Q760" i="16"/>
  <c r="W759" i="16"/>
  <c r="Q759" i="16"/>
  <c r="W758" i="16"/>
  <c r="Q758" i="16"/>
  <c r="W757" i="16"/>
  <c r="Q757" i="16"/>
  <c r="W756" i="16"/>
  <c r="Q756" i="16"/>
  <c r="W755" i="16"/>
  <c r="Q755" i="16"/>
  <c r="W754" i="16"/>
  <c r="Q754" i="16"/>
  <c r="W753" i="16"/>
  <c r="Q753" i="16"/>
  <c r="W752" i="16"/>
  <c r="Q752" i="16"/>
  <c r="W751" i="16"/>
  <c r="Q751" i="16"/>
  <c r="W750" i="16"/>
  <c r="Q750" i="16"/>
  <c r="W749" i="16"/>
  <c r="Q749" i="16"/>
  <c r="W748" i="16"/>
  <c r="Q748" i="16"/>
  <c r="W747" i="16"/>
  <c r="Q747" i="16"/>
  <c r="W746" i="16"/>
  <c r="Q746" i="16"/>
  <c r="W745" i="16"/>
  <c r="Q745" i="16"/>
  <c r="W744" i="16"/>
  <c r="Q744" i="16"/>
  <c r="W743" i="16"/>
  <c r="Q743" i="16"/>
  <c r="W742" i="16"/>
  <c r="Q742" i="16"/>
  <c r="W741" i="16"/>
  <c r="Q741" i="16"/>
  <c r="W740" i="16"/>
  <c r="Q740" i="16"/>
  <c r="W739" i="16"/>
  <c r="Q739" i="16"/>
  <c r="W738" i="16"/>
  <c r="Q738" i="16"/>
  <c r="W737" i="16"/>
  <c r="Q737" i="16"/>
  <c r="W736" i="16"/>
  <c r="Q736" i="16"/>
  <c r="W735" i="16"/>
  <c r="Q735" i="16"/>
  <c r="W734" i="16"/>
  <c r="Q734" i="16"/>
  <c r="W733" i="16"/>
  <c r="Q733" i="16"/>
  <c r="W732" i="16"/>
  <c r="Q732" i="16"/>
  <c r="W731" i="16"/>
  <c r="Q731" i="16"/>
  <c r="W730" i="16"/>
  <c r="Q730" i="16"/>
  <c r="W729" i="16"/>
  <c r="Q729" i="16"/>
  <c r="W728" i="16"/>
  <c r="Q728" i="16"/>
  <c r="W727" i="16"/>
  <c r="Q727" i="16"/>
  <c r="W726" i="16"/>
  <c r="Q726" i="16"/>
  <c r="W725" i="16"/>
  <c r="Q725" i="16"/>
  <c r="W724" i="16"/>
  <c r="Q724" i="16"/>
  <c r="W723" i="16"/>
  <c r="Q723" i="16"/>
  <c r="W722" i="16"/>
  <c r="Q722" i="16"/>
  <c r="W721" i="16"/>
  <c r="Q721" i="16"/>
  <c r="W720" i="16"/>
  <c r="Q720" i="16"/>
  <c r="W719" i="16"/>
  <c r="Q719" i="16"/>
  <c r="W718" i="16"/>
  <c r="Q718" i="16"/>
  <c r="W717" i="16"/>
  <c r="Q717" i="16"/>
  <c r="W716" i="16"/>
  <c r="Q716" i="16"/>
  <c r="W715" i="16"/>
  <c r="Q715" i="16"/>
  <c r="W714" i="16"/>
  <c r="Q714" i="16"/>
  <c r="W713" i="16"/>
  <c r="Q713" i="16"/>
  <c r="W712" i="16"/>
  <c r="Q712" i="16"/>
  <c r="W711" i="16"/>
  <c r="Q711" i="16"/>
  <c r="W710" i="16"/>
  <c r="Q710" i="16"/>
  <c r="W709" i="16"/>
  <c r="Q709" i="16"/>
  <c r="W708" i="16"/>
  <c r="Q708" i="16"/>
  <c r="W707" i="16"/>
  <c r="Q707" i="16"/>
  <c r="W706" i="16"/>
  <c r="Q706" i="16"/>
  <c r="W705" i="16"/>
  <c r="Q705" i="16"/>
  <c r="W704" i="16"/>
  <c r="Q704" i="16"/>
  <c r="W703" i="16"/>
  <c r="Q703" i="16"/>
  <c r="W702" i="16"/>
  <c r="Q702" i="16"/>
  <c r="W701" i="16"/>
  <c r="Q701" i="16"/>
  <c r="W700" i="16"/>
  <c r="Q700" i="16"/>
  <c r="W699" i="16"/>
  <c r="Q699" i="16"/>
  <c r="W698" i="16"/>
  <c r="Q698" i="16"/>
  <c r="W697" i="16"/>
  <c r="Q697" i="16"/>
  <c r="W696" i="16"/>
  <c r="Q696" i="16"/>
  <c r="W695" i="16"/>
  <c r="Q695" i="16"/>
  <c r="W694" i="16"/>
  <c r="Q694" i="16"/>
  <c r="W693" i="16"/>
  <c r="Q693" i="16"/>
  <c r="W692" i="16"/>
  <c r="Q692" i="16"/>
  <c r="W691" i="16"/>
  <c r="Q691" i="16"/>
  <c r="W690" i="16"/>
  <c r="Q690" i="16"/>
  <c r="W689" i="16"/>
  <c r="Q689" i="16"/>
  <c r="W688" i="16"/>
  <c r="Q688" i="16"/>
  <c r="W687" i="16"/>
  <c r="Q687" i="16"/>
  <c r="W686" i="16"/>
  <c r="Q686" i="16"/>
  <c r="W685" i="16"/>
  <c r="Q685" i="16"/>
  <c r="W684" i="16"/>
  <c r="Q684" i="16"/>
  <c r="W683" i="16"/>
  <c r="Q683" i="16"/>
  <c r="W682" i="16"/>
  <c r="Q682" i="16"/>
  <c r="W681" i="16"/>
  <c r="Q681" i="16"/>
  <c r="W680" i="16"/>
  <c r="Q680" i="16"/>
  <c r="W679" i="16"/>
  <c r="Q679" i="16"/>
  <c r="W678" i="16"/>
  <c r="Q678" i="16"/>
  <c r="W677" i="16"/>
  <c r="Q677" i="16"/>
  <c r="W676" i="16"/>
  <c r="Q676" i="16"/>
  <c r="W675" i="16"/>
  <c r="Q675" i="16"/>
  <c r="W674" i="16"/>
  <c r="Q674" i="16"/>
  <c r="W673" i="16"/>
  <c r="Q673" i="16"/>
  <c r="W672" i="16"/>
  <c r="Q672" i="16"/>
  <c r="W671" i="16"/>
  <c r="Q671" i="16"/>
  <c r="W670" i="16"/>
  <c r="Q670" i="16"/>
  <c r="W669" i="16"/>
  <c r="Q669" i="16"/>
  <c r="W668" i="16"/>
  <c r="Q668" i="16"/>
  <c r="W667" i="16"/>
  <c r="Q667" i="16"/>
  <c r="W666" i="16"/>
  <c r="Q666" i="16"/>
  <c r="W665" i="16"/>
  <c r="Q665" i="16"/>
  <c r="W664" i="16"/>
  <c r="Q664" i="16"/>
  <c r="W663" i="16"/>
  <c r="Q663" i="16"/>
  <c r="W662" i="16"/>
  <c r="Q662" i="16"/>
  <c r="W661" i="16"/>
  <c r="Q661" i="16"/>
  <c r="W660" i="16"/>
  <c r="Q660" i="16"/>
  <c r="W659" i="16"/>
  <c r="Q659" i="16"/>
  <c r="W658" i="16"/>
  <c r="Q658" i="16"/>
  <c r="W657" i="16"/>
  <c r="Q657" i="16"/>
  <c r="W656" i="16"/>
  <c r="Q656" i="16"/>
  <c r="W655" i="16"/>
  <c r="Q655" i="16"/>
  <c r="W654" i="16"/>
  <c r="Q654" i="16"/>
  <c r="W653" i="16"/>
  <c r="Q653" i="16"/>
  <c r="W652" i="16"/>
  <c r="Q652" i="16"/>
  <c r="W651" i="16"/>
  <c r="Q651" i="16"/>
  <c r="W650" i="16"/>
  <c r="Q650" i="16"/>
  <c r="W649" i="16"/>
  <c r="Q649" i="16"/>
  <c r="W648" i="16"/>
  <c r="Q648" i="16"/>
  <c r="W647" i="16"/>
  <c r="Q647" i="16"/>
  <c r="W646" i="16"/>
  <c r="Q646" i="16"/>
  <c r="W645" i="16"/>
  <c r="Q645" i="16"/>
  <c r="W644" i="16"/>
  <c r="Q644" i="16"/>
  <c r="W643" i="16"/>
  <c r="Q643" i="16"/>
  <c r="W642" i="16"/>
  <c r="Q642" i="16"/>
  <c r="W641" i="16"/>
  <c r="Q641" i="16"/>
  <c r="W640" i="16"/>
  <c r="Q640" i="16"/>
  <c r="W639" i="16"/>
  <c r="Q639" i="16"/>
  <c r="W638" i="16"/>
  <c r="Q638" i="16"/>
  <c r="W637" i="16"/>
  <c r="Q637" i="16"/>
  <c r="W636" i="16"/>
  <c r="Q636" i="16"/>
  <c r="W635" i="16"/>
  <c r="Q635" i="16"/>
  <c r="W634" i="16"/>
  <c r="Q634" i="16"/>
  <c r="W633" i="16"/>
  <c r="Q633" i="16"/>
  <c r="W632" i="16"/>
  <c r="Q632" i="16"/>
  <c r="W631" i="16"/>
  <c r="Q631" i="16"/>
  <c r="W630" i="16"/>
  <c r="Q630" i="16"/>
  <c r="W629" i="16"/>
  <c r="Q629" i="16"/>
  <c r="W628" i="16"/>
  <c r="Q628" i="16"/>
  <c r="W627" i="16"/>
  <c r="Q627" i="16"/>
  <c r="W626" i="16"/>
  <c r="Q626" i="16"/>
  <c r="W625" i="16"/>
  <c r="Q625" i="16"/>
  <c r="W624" i="16"/>
  <c r="Q624" i="16"/>
  <c r="W623" i="16"/>
  <c r="Q623" i="16"/>
  <c r="W622" i="16"/>
  <c r="Q622" i="16"/>
  <c r="W621" i="16"/>
  <c r="Q621" i="16"/>
  <c r="W620" i="16"/>
  <c r="Q620" i="16"/>
  <c r="W619" i="16"/>
  <c r="Q619" i="16"/>
  <c r="W618" i="16"/>
  <c r="Q618" i="16"/>
  <c r="W617" i="16"/>
  <c r="Q617" i="16"/>
  <c r="W616" i="16"/>
  <c r="Q616" i="16"/>
  <c r="W615" i="16"/>
  <c r="Q615" i="16"/>
  <c r="W614" i="16"/>
  <c r="Q614" i="16"/>
  <c r="W613" i="16"/>
  <c r="Q613" i="16"/>
  <c r="W612" i="16"/>
  <c r="Q612" i="16"/>
  <c r="W611" i="16"/>
  <c r="Q611" i="16"/>
  <c r="W610" i="16"/>
  <c r="Q610" i="16"/>
  <c r="W609" i="16"/>
  <c r="Q609" i="16"/>
  <c r="W608" i="16"/>
  <c r="Q608" i="16"/>
  <c r="W607" i="16"/>
  <c r="Q607" i="16"/>
  <c r="W606" i="16"/>
  <c r="Q606" i="16"/>
  <c r="W605" i="16"/>
  <c r="Q605" i="16"/>
  <c r="W604" i="16"/>
  <c r="Q604" i="16"/>
  <c r="W603" i="16"/>
  <c r="Q603" i="16"/>
  <c r="W602" i="16"/>
  <c r="Q602" i="16"/>
  <c r="W601" i="16"/>
  <c r="Q601" i="16"/>
  <c r="W600" i="16"/>
  <c r="Q600" i="16"/>
  <c r="W599" i="16"/>
  <c r="Q599" i="16"/>
  <c r="W598" i="16"/>
  <c r="Q598" i="16"/>
  <c r="W597" i="16"/>
  <c r="Q597" i="16"/>
  <c r="W596" i="16"/>
  <c r="Q596" i="16"/>
  <c r="W595" i="16"/>
  <c r="Q595" i="16"/>
  <c r="W594" i="16"/>
  <c r="Q594" i="16"/>
  <c r="W593" i="16"/>
  <c r="Q593" i="16"/>
  <c r="W592" i="16"/>
  <c r="Q592" i="16"/>
  <c r="W591" i="16"/>
  <c r="Q591" i="16"/>
  <c r="W590" i="16"/>
  <c r="Q590" i="16"/>
  <c r="W589" i="16"/>
  <c r="Q589" i="16"/>
  <c r="W588" i="16"/>
  <c r="Q588" i="16"/>
  <c r="W587" i="16"/>
  <c r="Q587" i="16"/>
  <c r="W586" i="16"/>
  <c r="Q586" i="16"/>
  <c r="W585" i="16"/>
  <c r="Q585" i="16"/>
  <c r="W584" i="16"/>
  <c r="Q584" i="16"/>
  <c r="W583" i="16"/>
  <c r="Q583" i="16"/>
  <c r="W582" i="16"/>
  <c r="Q582" i="16"/>
  <c r="W581" i="16"/>
  <c r="Q581" i="16"/>
  <c r="W580" i="16"/>
  <c r="Q580" i="16"/>
  <c r="W579" i="16"/>
  <c r="Q579" i="16"/>
  <c r="W578" i="16"/>
  <c r="Q578" i="16"/>
  <c r="W577" i="16"/>
  <c r="Q577" i="16"/>
  <c r="W576" i="16"/>
  <c r="Q576" i="16"/>
  <c r="W575" i="16"/>
  <c r="Q575" i="16"/>
  <c r="W574" i="16"/>
  <c r="Q574" i="16"/>
  <c r="W573" i="16"/>
  <c r="Q573" i="16"/>
  <c r="W572" i="16"/>
  <c r="Q572" i="16"/>
  <c r="W571" i="16"/>
  <c r="Q571" i="16"/>
  <c r="W570" i="16"/>
  <c r="Q570" i="16"/>
  <c r="W569" i="16"/>
  <c r="Q569" i="16"/>
  <c r="W568" i="16"/>
  <c r="Q568" i="16"/>
  <c r="W567" i="16"/>
  <c r="Q567" i="16"/>
  <c r="W566" i="16"/>
  <c r="Q566" i="16"/>
  <c r="W565" i="16"/>
  <c r="Q565" i="16"/>
  <c r="W564" i="16"/>
  <c r="Q564" i="16"/>
  <c r="W563" i="16"/>
  <c r="Q563" i="16"/>
  <c r="W562" i="16"/>
  <c r="Q562" i="16"/>
  <c r="W561" i="16"/>
  <c r="Q561" i="16"/>
  <c r="W560" i="16"/>
  <c r="Q560" i="16"/>
  <c r="W559" i="16"/>
  <c r="Q559" i="16"/>
  <c r="W558" i="16"/>
  <c r="Q558" i="16"/>
  <c r="W557" i="16"/>
  <c r="Q557" i="16"/>
  <c r="W556" i="16"/>
  <c r="Q556" i="16"/>
  <c r="W555" i="16"/>
  <c r="Q555" i="16"/>
  <c r="W554" i="16"/>
  <c r="Q554" i="16"/>
  <c r="W553" i="16"/>
  <c r="Q553" i="16"/>
  <c r="W552" i="16"/>
  <c r="Q552" i="16"/>
  <c r="W551" i="16"/>
  <c r="Q551" i="16"/>
  <c r="W550" i="16"/>
  <c r="Q550" i="16"/>
  <c r="W549" i="16"/>
  <c r="Q549" i="16"/>
  <c r="W548" i="16"/>
  <c r="Q548" i="16"/>
  <c r="W547" i="16"/>
  <c r="Q547" i="16"/>
  <c r="W546" i="16"/>
  <c r="Q546" i="16"/>
  <c r="W545" i="16"/>
  <c r="Q545" i="16"/>
  <c r="W544" i="16"/>
  <c r="Q544" i="16"/>
  <c r="W543" i="16"/>
  <c r="Q543" i="16"/>
  <c r="W542" i="16"/>
  <c r="Q542" i="16"/>
  <c r="W541" i="16"/>
  <c r="Q541" i="16"/>
  <c r="W540" i="16"/>
  <c r="Q540" i="16"/>
  <c r="W539" i="16"/>
  <c r="Q539" i="16"/>
  <c r="W538" i="16"/>
  <c r="Q538" i="16"/>
  <c r="W537" i="16"/>
  <c r="Q537" i="16"/>
  <c r="W536" i="16"/>
  <c r="Q536" i="16"/>
  <c r="W535" i="16"/>
  <c r="Q535" i="16"/>
  <c r="W534" i="16"/>
  <c r="Q534" i="16"/>
  <c r="W533" i="16"/>
  <c r="Q533" i="16"/>
  <c r="W532" i="16"/>
  <c r="Q532" i="16"/>
  <c r="W531" i="16"/>
  <c r="Q531" i="16"/>
  <c r="W530" i="16"/>
  <c r="Q530" i="16"/>
  <c r="W529" i="16"/>
  <c r="Q529" i="16"/>
  <c r="W528" i="16"/>
  <c r="Q528" i="16"/>
  <c r="W527" i="16"/>
  <c r="Q527" i="16"/>
  <c r="W526" i="16"/>
  <c r="Q526" i="16"/>
  <c r="W525" i="16"/>
  <c r="Q525" i="16"/>
  <c r="W524" i="16"/>
  <c r="Q524" i="16"/>
  <c r="W523" i="16"/>
  <c r="Q523" i="16"/>
  <c r="W522" i="16"/>
  <c r="Q522" i="16"/>
  <c r="W521" i="16"/>
  <c r="Q521" i="16"/>
  <c r="W520" i="16"/>
  <c r="Q520" i="16"/>
  <c r="W519" i="16"/>
  <c r="Q519" i="16"/>
  <c r="W518" i="16"/>
  <c r="Q518" i="16"/>
  <c r="W517" i="16"/>
  <c r="Q517" i="16"/>
  <c r="W516" i="16"/>
  <c r="Q516" i="16"/>
  <c r="W515" i="16"/>
  <c r="Q515" i="16"/>
  <c r="W514" i="16"/>
  <c r="Q514" i="16"/>
  <c r="W513" i="16"/>
  <c r="Q513" i="16"/>
  <c r="W512" i="16"/>
  <c r="Q512" i="16"/>
  <c r="W511" i="16"/>
  <c r="Q511" i="16"/>
  <c r="W510" i="16"/>
  <c r="Q510" i="16"/>
  <c r="W509" i="16"/>
  <c r="Q509" i="16"/>
  <c r="W508" i="16"/>
  <c r="Q508" i="16"/>
  <c r="W507" i="16"/>
  <c r="Q507" i="16"/>
  <c r="W506" i="16"/>
  <c r="Q506" i="16"/>
  <c r="W505" i="16"/>
  <c r="Q505" i="16"/>
  <c r="W504" i="16"/>
  <c r="Q504" i="16"/>
  <c r="W503" i="16"/>
  <c r="Q503" i="16"/>
  <c r="W502" i="16"/>
  <c r="Q502" i="16"/>
  <c r="W501" i="16"/>
  <c r="Q501" i="16"/>
  <c r="W500" i="16"/>
  <c r="Q500" i="16"/>
  <c r="W499" i="16"/>
  <c r="Q499" i="16"/>
  <c r="W498" i="16"/>
  <c r="Q498" i="16"/>
  <c r="W497" i="16"/>
  <c r="Q497" i="16"/>
  <c r="W496" i="16"/>
  <c r="Q496" i="16"/>
  <c r="W495" i="16"/>
  <c r="Q495" i="16"/>
  <c r="W494" i="16"/>
  <c r="Q494" i="16"/>
  <c r="W493" i="16"/>
  <c r="Q493" i="16"/>
  <c r="W492" i="16"/>
  <c r="Q492" i="16"/>
  <c r="W491" i="16"/>
  <c r="Q491" i="16"/>
  <c r="W490" i="16"/>
  <c r="Q490" i="16"/>
  <c r="W489" i="16"/>
  <c r="Q489" i="16"/>
  <c r="W488" i="16"/>
  <c r="Q488" i="16"/>
  <c r="W487" i="16"/>
  <c r="Q487" i="16"/>
  <c r="W486" i="16"/>
  <c r="Q486" i="16"/>
  <c r="W485" i="16"/>
  <c r="Q485" i="16"/>
  <c r="W484" i="16"/>
  <c r="Q484" i="16"/>
  <c r="W483" i="16"/>
  <c r="Q483" i="16"/>
  <c r="W482" i="16"/>
  <c r="Q482" i="16"/>
  <c r="W481" i="16"/>
  <c r="Q481" i="16"/>
  <c r="W480" i="16"/>
  <c r="Q480" i="16"/>
  <c r="W479" i="16"/>
  <c r="Q479" i="16"/>
  <c r="W478" i="16"/>
  <c r="Q478" i="16"/>
  <c r="W477" i="16"/>
  <c r="Q477" i="16"/>
  <c r="W476" i="16"/>
  <c r="Q476" i="16"/>
  <c r="W475" i="16"/>
  <c r="Q475" i="16"/>
  <c r="W474" i="16"/>
  <c r="Q474" i="16"/>
  <c r="W473" i="16"/>
  <c r="Q473" i="16"/>
  <c r="W472" i="16"/>
  <c r="Q472" i="16"/>
  <c r="W471" i="16"/>
  <c r="Q471" i="16"/>
  <c r="W470" i="16"/>
  <c r="Q470" i="16"/>
  <c r="W469" i="16"/>
  <c r="Q469" i="16"/>
  <c r="W468" i="16"/>
  <c r="Q468" i="16"/>
  <c r="W467" i="16"/>
  <c r="Q467" i="16"/>
  <c r="W466" i="16"/>
  <c r="Q466" i="16"/>
  <c r="W465" i="16"/>
  <c r="Q465" i="16"/>
  <c r="W464" i="16"/>
  <c r="Q464" i="16"/>
  <c r="W463" i="16"/>
  <c r="Q463" i="16"/>
  <c r="W462" i="16"/>
  <c r="Q462" i="16"/>
  <c r="W461" i="16"/>
  <c r="Q461" i="16"/>
  <c r="W460" i="16"/>
  <c r="Q460" i="16"/>
  <c r="W459" i="16"/>
  <c r="Q459" i="16"/>
  <c r="W458" i="16"/>
  <c r="Q458" i="16"/>
  <c r="W457" i="16"/>
  <c r="Q457" i="16"/>
  <c r="W456" i="16"/>
  <c r="Q456" i="16"/>
  <c r="W455" i="16"/>
  <c r="Q455" i="16"/>
  <c r="W454" i="16"/>
  <c r="Q454" i="16"/>
  <c r="W453" i="16"/>
  <c r="Q453" i="16"/>
  <c r="W452" i="16"/>
  <c r="Q452" i="16"/>
  <c r="W451" i="16"/>
  <c r="Q451" i="16"/>
  <c r="W450" i="16"/>
  <c r="Q450" i="16"/>
  <c r="W449" i="16"/>
  <c r="Q449" i="16"/>
  <c r="W448" i="16"/>
  <c r="Q448" i="16"/>
  <c r="W447" i="16"/>
  <c r="Q447" i="16"/>
  <c r="W446" i="16"/>
  <c r="Q446" i="16"/>
  <c r="W445" i="16"/>
  <c r="Q445" i="16"/>
  <c r="W444" i="16"/>
  <c r="Q444" i="16"/>
  <c r="W443" i="16"/>
  <c r="Q443" i="16"/>
  <c r="W442" i="16"/>
  <c r="Q442" i="16"/>
  <c r="W441" i="16"/>
  <c r="Q441" i="16"/>
  <c r="W440" i="16"/>
  <c r="Q440" i="16"/>
  <c r="W439" i="16"/>
  <c r="Q439" i="16"/>
  <c r="W438" i="16"/>
  <c r="Q438" i="16"/>
  <c r="W437" i="16"/>
  <c r="Q437" i="16"/>
  <c r="W436" i="16"/>
  <c r="Q436" i="16"/>
  <c r="W435" i="16"/>
  <c r="Q435" i="16"/>
  <c r="W434" i="16"/>
  <c r="Q434" i="16"/>
  <c r="W433" i="16"/>
  <c r="Q433" i="16"/>
  <c r="W432" i="16"/>
  <c r="Q432" i="16"/>
  <c r="W431" i="16"/>
  <c r="Q431" i="16"/>
  <c r="W430" i="16"/>
  <c r="Q430" i="16"/>
  <c r="W429" i="16"/>
  <c r="Q429" i="16"/>
  <c r="W428" i="16"/>
  <c r="Q428" i="16"/>
  <c r="W427" i="16"/>
  <c r="Q427" i="16"/>
  <c r="W426" i="16"/>
  <c r="Q426" i="16"/>
  <c r="W425" i="16"/>
  <c r="Q425" i="16"/>
  <c r="W424" i="16"/>
  <c r="Q424" i="16"/>
  <c r="W423" i="16"/>
  <c r="Q423" i="16"/>
  <c r="W422" i="16"/>
  <c r="Q422" i="16"/>
  <c r="W421" i="16"/>
  <c r="Q421" i="16"/>
  <c r="W420" i="16"/>
  <c r="Q420" i="16"/>
  <c r="W419" i="16"/>
  <c r="Q419" i="16"/>
  <c r="W418" i="16"/>
  <c r="Q418" i="16"/>
  <c r="W417" i="16"/>
  <c r="Q417" i="16"/>
  <c r="W416" i="16"/>
  <c r="Q416" i="16"/>
  <c r="W415" i="16"/>
  <c r="Q415" i="16"/>
  <c r="W414" i="16"/>
  <c r="Q414" i="16"/>
  <c r="W413" i="16"/>
  <c r="Q413" i="16"/>
  <c r="W412" i="16"/>
  <c r="Q412" i="16"/>
  <c r="W411" i="16"/>
  <c r="Q411" i="16"/>
  <c r="W410" i="16"/>
  <c r="Q410" i="16"/>
  <c r="W409" i="16"/>
  <c r="Q409" i="16"/>
  <c r="W408" i="16"/>
  <c r="Q408" i="16"/>
  <c r="W407" i="16"/>
  <c r="Q407" i="16"/>
  <c r="W406" i="16"/>
  <c r="Q406" i="16"/>
  <c r="W405" i="16"/>
  <c r="Q405" i="16"/>
  <c r="W404" i="16"/>
  <c r="Q404" i="16"/>
  <c r="W403" i="16"/>
  <c r="Q403" i="16"/>
  <c r="W402" i="16"/>
  <c r="Q402" i="16"/>
  <c r="W401" i="16"/>
  <c r="Q401" i="16"/>
  <c r="W400" i="16"/>
  <c r="Q400" i="16"/>
  <c r="W399" i="16"/>
  <c r="Q399" i="16"/>
  <c r="W398" i="16"/>
  <c r="Q398" i="16"/>
  <c r="W397" i="16"/>
  <c r="Q397" i="16"/>
  <c r="W396" i="16"/>
  <c r="Q396" i="16"/>
  <c r="W395" i="16"/>
  <c r="Q395" i="16"/>
  <c r="W394" i="16"/>
  <c r="Q394" i="16"/>
  <c r="W393" i="16"/>
  <c r="Q393" i="16"/>
  <c r="W392" i="16"/>
  <c r="Q392" i="16"/>
  <c r="W391" i="16"/>
  <c r="Q391" i="16"/>
  <c r="W390" i="16"/>
  <c r="Q390" i="16"/>
  <c r="W389" i="16"/>
  <c r="Q389" i="16"/>
  <c r="W388" i="16"/>
  <c r="Q388" i="16"/>
  <c r="W387" i="16"/>
  <c r="Q387" i="16"/>
  <c r="W386" i="16"/>
  <c r="Q386" i="16"/>
  <c r="W385" i="16"/>
  <c r="Q385" i="16"/>
  <c r="W384" i="16"/>
  <c r="Q384" i="16"/>
  <c r="W383" i="16"/>
  <c r="Q383" i="16"/>
  <c r="W382" i="16"/>
  <c r="Q382" i="16"/>
  <c r="W381" i="16"/>
  <c r="Q381" i="16"/>
  <c r="W380" i="16"/>
  <c r="Q380" i="16"/>
  <c r="W379" i="16"/>
  <c r="Q379" i="16"/>
  <c r="W378" i="16"/>
  <c r="Q378" i="16"/>
  <c r="W377" i="16"/>
  <c r="Q377" i="16"/>
  <c r="W376" i="16"/>
  <c r="Q376" i="16"/>
  <c r="W375" i="16"/>
  <c r="Q375" i="16"/>
  <c r="W374" i="16"/>
  <c r="Q374" i="16"/>
  <c r="W373" i="16"/>
  <c r="Q373" i="16"/>
  <c r="W372" i="16"/>
  <c r="Q372" i="16"/>
  <c r="W371" i="16"/>
  <c r="Q371" i="16"/>
  <c r="W370" i="16"/>
  <c r="Q370" i="16"/>
  <c r="W369" i="16"/>
  <c r="Q369" i="16"/>
  <c r="W368" i="16"/>
  <c r="Q368" i="16"/>
  <c r="W367" i="16"/>
  <c r="Q367" i="16"/>
  <c r="W366" i="16"/>
  <c r="Q366" i="16"/>
  <c r="W365" i="16"/>
  <c r="Q365" i="16"/>
  <c r="W364" i="16"/>
  <c r="Q364" i="16"/>
  <c r="W363" i="16"/>
  <c r="Q363" i="16"/>
  <c r="W362" i="16"/>
  <c r="Q362" i="16"/>
  <c r="W361" i="16"/>
  <c r="Q361" i="16"/>
  <c r="W360" i="16"/>
  <c r="Q360" i="16"/>
  <c r="W359" i="16"/>
  <c r="Q359" i="16"/>
  <c r="W358" i="16"/>
  <c r="Q358" i="16"/>
  <c r="W357" i="16"/>
  <c r="Q357" i="16"/>
  <c r="W356" i="16"/>
  <c r="Q356" i="16"/>
  <c r="W355" i="16"/>
  <c r="Q355" i="16"/>
  <c r="W354" i="16"/>
  <c r="Q354" i="16"/>
  <c r="W353" i="16"/>
  <c r="Q353" i="16"/>
  <c r="W352" i="16"/>
  <c r="Q352" i="16"/>
  <c r="W351" i="16"/>
  <c r="Q351" i="16"/>
  <c r="W350" i="16"/>
  <c r="Q350" i="16"/>
  <c r="W349" i="16"/>
  <c r="Q349" i="16"/>
  <c r="W348" i="16"/>
  <c r="Q348" i="16"/>
  <c r="W347" i="16"/>
  <c r="Q347" i="16"/>
  <c r="W346" i="16"/>
  <c r="Q346" i="16"/>
  <c r="W345" i="16"/>
  <c r="Q345" i="16"/>
  <c r="W344" i="16"/>
  <c r="Q344" i="16"/>
  <c r="W343" i="16"/>
  <c r="Q343" i="16"/>
  <c r="W342" i="16"/>
  <c r="Q342" i="16"/>
  <c r="W341" i="16"/>
  <c r="Q341" i="16"/>
  <c r="W340" i="16"/>
  <c r="Q340" i="16"/>
  <c r="W339" i="16"/>
  <c r="Q339" i="16"/>
  <c r="W338" i="16"/>
  <c r="Q338" i="16"/>
  <c r="W337" i="16"/>
  <c r="Q337" i="16"/>
  <c r="W336" i="16"/>
  <c r="Q336" i="16"/>
  <c r="W335" i="16"/>
  <c r="Q335" i="16"/>
  <c r="W334" i="16"/>
  <c r="Q334" i="16"/>
  <c r="W333" i="16"/>
  <c r="Q333" i="16"/>
  <c r="W332" i="16"/>
  <c r="Q332" i="16"/>
  <c r="W331" i="16"/>
  <c r="Q331" i="16"/>
  <c r="W330" i="16"/>
  <c r="Q330" i="16"/>
  <c r="W329" i="16"/>
  <c r="Q329" i="16"/>
  <c r="W328" i="16"/>
  <c r="Q328" i="16"/>
  <c r="W327" i="16"/>
  <c r="Q327" i="16"/>
  <c r="W326" i="16"/>
  <c r="Q326" i="16"/>
  <c r="W325" i="16"/>
  <c r="Q325" i="16"/>
  <c r="W324" i="16"/>
  <c r="Q324" i="16"/>
  <c r="W323" i="16"/>
  <c r="Q323" i="16"/>
  <c r="W322" i="16"/>
  <c r="Q322" i="16"/>
  <c r="W321" i="16"/>
  <c r="Q321" i="16"/>
  <c r="W320" i="16"/>
  <c r="Q320" i="16"/>
  <c r="W319" i="16"/>
  <c r="Q319" i="16"/>
  <c r="W318" i="16"/>
  <c r="Q318" i="16"/>
  <c r="W317" i="16"/>
  <c r="Q317" i="16"/>
  <c r="W316" i="16"/>
  <c r="Q316" i="16"/>
  <c r="W315" i="16"/>
  <c r="Q315" i="16"/>
  <c r="W314" i="16"/>
  <c r="Q314" i="16"/>
  <c r="W313" i="16"/>
  <c r="Q313" i="16"/>
  <c r="W312" i="16"/>
  <c r="Q312" i="16"/>
  <c r="W311" i="16"/>
  <c r="Q311" i="16"/>
  <c r="W310" i="16"/>
  <c r="Q310" i="16"/>
  <c r="W309" i="16"/>
  <c r="Q309" i="16"/>
  <c r="W308" i="16"/>
  <c r="Q308" i="16"/>
  <c r="W307" i="16"/>
  <c r="Q307" i="16"/>
  <c r="W306" i="16"/>
  <c r="Q306" i="16"/>
  <c r="W305" i="16"/>
  <c r="Q305" i="16"/>
  <c r="W304" i="16"/>
  <c r="Q304" i="16"/>
  <c r="W303" i="16"/>
  <c r="Q303" i="16"/>
  <c r="W302" i="16"/>
  <c r="Q302" i="16"/>
  <c r="W301" i="16"/>
  <c r="Q301" i="16"/>
  <c r="W300" i="16"/>
  <c r="Q300" i="16"/>
  <c r="W299" i="16"/>
  <c r="Q299" i="16"/>
  <c r="W298" i="16"/>
  <c r="Q298" i="16"/>
  <c r="W297" i="16"/>
  <c r="Q297" i="16"/>
  <c r="W296" i="16"/>
  <c r="Q296" i="16"/>
  <c r="W295" i="16"/>
  <c r="Q295" i="16"/>
  <c r="W294" i="16"/>
  <c r="Q294" i="16"/>
  <c r="W293" i="16"/>
  <c r="Q293" i="16"/>
  <c r="W292" i="16"/>
  <c r="Q292" i="16"/>
  <c r="W291" i="16"/>
  <c r="Q291" i="16"/>
  <c r="W290" i="16"/>
  <c r="Q290" i="16"/>
  <c r="W289" i="16"/>
  <c r="Q289" i="16"/>
  <c r="W288" i="16"/>
  <c r="Q288" i="16"/>
  <c r="W287" i="16"/>
  <c r="Q287" i="16"/>
  <c r="W286" i="16"/>
  <c r="Q286" i="16"/>
  <c r="W285" i="16"/>
  <c r="Q285" i="16"/>
  <c r="W284" i="16"/>
  <c r="Q284" i="16"/>
  <c r="W283" i="16"/>
  <c r="Q283" i="16"/>
  <c r="W282" i="16"/>
  <c r="Q282" i="16"/>
  <c r="W281" i="16"/>
  <c r="Q281" i="16"/>
  <c r="W280" i="16"/>
  <c r="Q280" i="16"/>
  <c r="W279" i="16"/>
  <c r="Q279" i="16"/>
  <c r="W278" i="16"/>
  <c r="Q278" i="16"/>
  <c r="W277" i="16"/>
  <c r="Q277" i="16"/>
  <c r="W276" i="16"/>
  <c r="Q276" i="16"/>
  <c r="W275" i="16"/>
  <c r="Q275" i="16"/>
  <c r="W274" i="16"/>
  <c r="Q274" i="16"/>
  <c r="W273" i="16"/>
  <c r="Q273" i="16"/>
  <c r="W272" i="16"/>
  <c r="Q272" i="16"/>
  <c r="W271" i="16"/>
  <c r="Q271" i="16"/>
  <c r="W270" i="16"/>
  <c r="Q270" i="16"/>
  <c r="W269" i="16"/>
  <c r="Q269" i="16"/>
  <c r="W268" i="16"/>
  <c r="Q268" i="16"/>
  <c r="W267" i="16"/>
  <c r="Q267" i="16"/>
  <c r="W266" i="16"/>
  <c r="Q266" i="16"/>
  <c r="W265" i="16"/>
  <c r="Q265" i="16"/>
  <c r="W264" i="16"/>
  <c r="Q264" i="16"/>
  <c r="W263" i="16"/>
  <c r="Q263" i="16"/>
  <c r="W262" i="16"/>
  <c r="Q262" i="16"/>
  <c r="W261" i="16"/>
  <c r="Q261" i="16"/>
  <c r="W260" i="16"/>
  <c r="Q260" i="16"/>
  <c r="W259" i="16"/>
  <c r="Q259" i="16"/>
  <c r="W258" i="16"/>
  <c r="Q258" i="16"/>
  <c r="W257" i="16"/>
  <c r="Q257" i="16"/>
  <c r="W256" i="16"/>
  <c r="Q256" i="16"/>
  <c r="W255" i="16"/>
  <c r="Q255" i="16"/>
  <c r="W254" i="16"/>
  <c r="Q254" i="16"/>
  <c r="W253" i="16"/>
  <c r="Q253" i="16"/>
  <c r="W252" i="16"/>
  <c r="Q252" i="16"/>
  <c r="W251" i="16"/>
  <c r="Q251" i="16"/>
  <c r="W250" i="16"/>
  <c r="Q250" i="16"/>
  <c r="W249" i="16"/>
  <c r="Q249" i="16"/>
  <c r="W248" i="16"/>
  <c r="Q248" i="16"/>
  <c r="W247" i="16"/>
  <c r="Q247" i="16"/>
  <c r="W246" i="16"/>
  <c r="Q246" i="16"/>
  <c r="W245" i="16"/>
  <c r="Q245" i="16"/>
  <c r="W244" i="16"/>
  <c r="Q244" i="16"/>
  <c r="W243" i="16"/>
  <c r="Q243" i="16"/>
  <c r="W242" i="16"/>
  <c r="Q242" i="16"/>
  <c r="W241" i="16"/>
  <c r="Q241" i="16"/>
  <c r="W240" i="16"/>
  <c r="Q240" i="16"/>
  <c r="W239" i="16"/>
  <c r="Q239" i="16"/>
  <c r="W238" i="16"/>
  <c r="Q238" i="16"/>
  <c r="W237" i="16"/>
  <c r="Q237" i="16"/>
  <c r="W236" i="16"/>
  <c r="Q236" i="16"/>
  <c r="W235" i="16"/>
  <c r="Q235" i="16"/>
  <c r="W234" i="16"/>
  <c r="Q234" i="16"/>
  <c r="W233" i="16"/>
  <c r="Q233" i="16"/>
  <c r="W232" i="16"/>
  <c r="Q232" i="16"/>
  <c r="W231" i="16"/>
  <c r="Q231" i="16"/>
  <c r="W230" i="16"/>
  <c r="Q230" i="16"/>
  <c r="W229" i="16"/>
  <c r="Q229" i="16"/>
  <c r="W228" i="16"/>
  <c r="Q228" i="16"/>
  <c r="W227" i="16"/>
  <c r="Q227" i="16"/>
  <c r="W226" i="16"/>
  <c r="Q226" i="16"/>
  <c r="W225" i="16"/>
  <c r="Q225" i="16"/>
  <c r="W224" i="16"/>
  <c r="Q224" i="16"/>
  <c r="W223" i="16"/>
  <c r="Q223" i="16"/>
  <c r="W222" i="16"/>
  <c r="Q222" i="16"/>
  <c r="W221" i="16"/>
  <c r="Q221" i="16"/>
  <c r="W220" i="16"/>
  <c r="Q220" i="16"/>
  <c r="W219" i="16"/>
  <c r="Q219" i="16"/>
  <c r="W218" i="16"/>
  <c r="Q218" i="16"/>
  <c r="W217" i="16"/>
  <c r="Q217" i="16"/>
  <c r="W216" i="16"/>
  <c r="Q216" i="16"/>
  <c r="W215" i="16"/>
  <c r="Q215" i="16"/>
  <c r="W214" i="16"/>
  <c r="Q214" i="16"/>
  <c r="W213" i="16"/>
  <c r="Q213" i="16"/>
  <c r="W212" i="16"/>
  <c r="Q212" i="16"/>
  <c r="W211" i="16"/>
  <c r="Q211" i="16"/>
  <c r="W210" i="16"/>
  <c r="Q210" i="16"/>
  <c r="W209" i="16"/>
  <c r="Q209" i="16"/>
  <c r="W208" i="16"/>
  <c r="Q208" i="16"/>
  <c r="W207" i="16"/>
  <c r="Q207" i="16"/>
  <c r="W206" i="16"/>
  <c r="Q206" i="16"/>
  <c r="W205" i="16"/>
  <c r="Q205" i="16"/>
  <c r="W204" i="16"/>
  <c r="Q204" i="16"/>
  <c r="W203" i="16"/>
  <c r="Q203" i="16"/>
  <c r="W202" i="16"/>
  <c r="Q202" i="16"/>
  <c r="W201" i="16"/>
  <c r="Q201" i="16"/>
  <c r="W200" i="16"/>
  <c r="Q200" i="16"/>
  <c r="W199" i="16"/>
  <c r="Q199" i="16"/>
  <c r="W198" i="16"/>
  <c r="Q198" i="16"/>
  <c r="W197" i="16"/>
  <c r="Q197" i="16"/>
  <c r="W196" i="16"/>
  <c r="Q196" i="16"/>
  <c r="W195" i="16"/>
  <c r="Q195" i="16"/>
  <c r="W194" i="16"/>
  <c r="Q194" i="16"/>
  <c r="W193" i="16"/>
  <c r="Q193" i="16"/>
  <c r="W192" i="16"/>
  <c r="Q192" i="16"/>
  <c r="W191" i="16"/>
  <c r="Q191" i="16"/>
  <c r="W190" i="16"/>
  <c r="Q190" i="16"/>
  <c r="W189" i="16"/>
  <c r="Q189" i="16"/>
  <c r="W188" i="16"/>
  <c r="Q188" i="16"/>
  <c r="W187" i="16"/>
  <c r="Q187" i="16"/>
  <c r="W186" i="16"/>
  <c r="Q186" i="16"/>
  <c r="W185" i="16"/>
  <c r="Q185" i="16"/>
  <c r="W184" i="16"/>
  <c r="Q184" i="16"/>
  <c r="W183" i="16"/>
  <c r="Q183" i="16"/>
  <c r="W182" i="16"/>
  <c r="Q182" i="16"/>
  <c r="W181" i="16"/>
  <c r="Q181" i="16"/>
  <c r="W180" i="16"/>
  <c r="Q180" i="16"/>
  <c r="W179" i="16"/>
  <c r="Q179" i="16"/>
  <c r="W178" i="16"/>
  <c r="Q178" i="16"/>
  <c r="W177" i="16"/>
  <c r="Q177" i="16"/>
  <c r="W176" i="16"/>
  <c r="Q176" i="16"/>
  <c r="W175" i="16"/>
  <c r="Q175" i="16"/>
  <c r="W174" i="16"/>
  <c r="Q174" i="16"/>
  <c r="W173" i="16"/>
  <c r="Q173" i="16"/>
  <c r="W172" i="16"/>
  <c r="Q172" i="16"/>
  <c r="W171" i="16"/>
  <c r="Q171" i="16"/>
  <c r="W170" i="16"/>
  <c r="Q170" i="16"/>
  <c r="W169" i="16"/>
  <c r="Q169" i="16"/>
  <c r="W168" i="16"/>
  <c r="Q168" i="16"/>
  <c r="W167" i="16"/>
  <c r="Q167" i="16"/>
  <c r="W166" i="16"/>
  <c r="Q166" i="16"/>
  <c r="W165" i="16"/>
  <c r="Q165" i="16"/>
  <c r="W164" i="16"/>
  <c r="Q164" i="16"/>
  <c r="W163" i="16"/>
  <c r="Q163" i="16"/>
  <c r="W162" i="16"/>
  <c r="Q162" i="16"/>
  <c r="W161" i="16"/>
  <c r="Q161" i="16"/>
  <c r="W160" i="16"/>
  <c r="Q160" i="16"/>
  <c r="W159" i="16"/>
  <c r="Q159" i="16"/>
  <c r="W158" i="16"/>
  <c r="Q158" i="16"/>
  <c r="W157" i="16"/>
  <c r="Q157" i="16"/>
  <c r="W156" i="16"/>
  <c r="Q156" i="16"/>
  <c r="W155" i="16"/>
  <c r="Q155" i="16"/>
  <c r="W154" i="16"/>
  <c r="Q154" i="16"/>
  <c r="W153" i="16"/>
  <c r="Q153" i="16"/>
  <c r="W152" i="16"/>
  <c r="Q152" i="16"/>
  <c r="W151" i="16"/>
  <c r="Q151" i="16"/>
  <c r="W150" i="16"/>
  <c r="Q150" i="16"/>
  <c r="W149" i="16"/>
  <c r="Q149" i="16"/>
  <c r="W148" i="16"/>
  <c r="Q148" i="16"/>
  <c r="W147" i="16"/>
  <c r="Q147" i="16"/>
  <c r="W146" i="16"/>
  <c r="Q146" i="16"/>
  <c r="W145" i="16"/>
  <c r="Q145" i="16"/>
  <c r="W144" i="16"/>
  <c r="Q144" i="16"/>
  <c r="W143" i="16"/>
  <c r="Q143" i="16"/>
  <c r="W142" i="16"/>
  <c r="Q142" i="16"/>
  <c r="W141" i="16"/>
  <c r="Q141" i="16"/>
  <c r="W140" i="16"/>
  <c r="Q140" i="16"/>
  <c r="W139" i="16"/>
  <c r="Q139" i="16"/>
  <c r="W138" i="16"/>
  <c r="Q138" i="16"/>
  <c r="W137" i="16"/>
  <c r="Q137" i="16"/>
  <c r="W136" i="16"/>
  <c r="Q136" i="16"/>
  <c r="W135" i="16"/>
  <c r="Q135" i="16"/>
  <c r="W134" i="16"/>
  <c r="Q134" i="16"/>
  <c r="W133" i="16"/>
  <c r="Q133" i="16"/>
  <c r="W132" i="16"/>
  <c r="Q132" i="16"/>
  <c r="W131" i="16"/>
  <c r="Q131" i="16"/>
  <c r="W130" i="16"/>
  <c r="Q130" i="16"/>
  <c r="W129" i="16"/>
  <c r="Q129" i="16"/>
  <c r="W128" i="16"/>
  <c r="Q128" i="16"/>
  <c r="W127" i="16"/>
  <c r="Q127" i="16"/>
  <c r="W126" i="16"/>
  <c r="Q126" i="16"/>
  <c r="W125" i="16"/>
  <c r="Q125" i="16"/>
  <c r="W124" i="16"/>
  <c r="Q124" i="16"/>
  <c r="W123" i="16"/>
  <c r="Q123" i="16"/>
  <c r="W122" i="16"/>
  <c r="Q122" i="16"/>
  <c r="W121" i="16"/>
  <c r="Q121" i="16"/>
  <c r="W120" i="16"/>
  <c r="Q120" i="16"/>
  <c r="W119" i="16"/>
  <c r="Q119" i="16"/>
  <c r="W118" i="16"/>
  <c r="Q118" i="16"/>
  <c r="W117" i="16"/>
  <c r="Q117" i="16"/>
  <c r="W116" i="16"/>
  <c r="Q116" i="16"/>
  <c r="W115" i="16"/>
  <c r="Q115" i="16"/>
  <c r="W114" i="16"/>
  <c r="Q114" i="16"/>
  <c r="W113" i="16"/>
  <c r="Q113" i="16"/>
  <c r="W112" i="16"/>
  <c r="Q112" i="16"/>
  <c r="W111" i="16"/>
  <c r="Q111" i="16"/>
  <c r="W110" i="16"/>
  <c r="Q110" i="16"/>
  <c r="W109" i="16"/>
  <c r="Q109" i="16"/>
  <c r="W108" i="16"/>
  <c r="Q108" i="16"/>
  <c r="W107" i="16"/>
  <c r="Q107" i="16"/>
  <c r="W106" i="16"/>
  <c r="Q106" i="16"/>
  <c r="W105" i="16"/>
  <c r="Q105" i="16"/>
  <c r="W104" i="16"/>
  <c r="Q104" i="16"/>
  <c r="W103" i="16"/>
  <c r="Q103" i="16"/>
  <c r="W102" i="16"/>
  <c r="Q102" i="16"/>
  <c r="W101" i="16"/>
  <c r="Q101" i="16"/>
  <c r="W100" i="16"/>
  <c r="Q100" i="16"/>
  <c r="W99" i="16"/>
  <c r="Q99" i="16"/>
  <c r="W98" i="16"/>
  <c r="Q98" i="16"/>
  <c r="W97" i="16"/>
  <c r="Q97" i="16"/>
  <c r="W96" i="16"/>
  <c r="Q96" i="16"/>
  <c r="W95" i="16"/>
  <c r="Q95" i="16"/>
  <c r="W94" i="16"/>
  <c r="Q94" i="16"/>
  <c r="W93" i="16"/>
  <c r="Q93" i="16"/>
  <c r="W92" i="16"/>
  <c r="Q92" i="16"/>
  <c r="W91" i="16"/>
  <c r="Q91" i="16"/>
  <c r="W90" i="16"/>
  <c r="Q90" i="16"/>
  <c r="W89" i="16"/>
  <c r="Q89" i="16"/>
  <c r="W88" i="16"/>
  <c r="Q88" i="16"/>
  <c r="W87" i="16"/>
  <c r="Q87" i="16"/>
  <c r="W86" i="16"/>
  <c r="Q86" i="16"/>
  <c r="W85" i="16"/>
  <c r="Q85" i="16"/>
  <c r="W84" i="16"/>
  <c r="Q84" i="16"/>
  <c r="W83" i="16"/>
  <c r="Q83" i="16"/>
  <c r="W82" i="16"/>
  <c r="Q82" i="16"/>
  <c r="W81" i="16"/>
  <c r="Q81" i="16"/>
  <c r="W80" i="16"/>
  <c r="Q80" i="16"/>
  <c r="W79" i="16"/>
  <c r="Q79" i="16"/>
  <c r="W78" i="16"/>
  <c r="Q78" i="16"/>
  <c r="W77" i="16"/>
  <c r="Q77" i="16"/>
  <c r="W76" i="16"/>
  <c r="Q76" i="16"/>
  <c r="W75" i="16"/>
  <c r="Q75" i="16"/>
  <c r="W74" i="16"/>
  <c r="Q74" i="16"/>
  <c r="W73" i="16"/>
  <c r="Q73" i="16"/>
  <c r="W72" i="16"/>
  <c r="Q72" i="16"/>
  <c r="W71" i="16"/>
  <c r="Q71" i="16"/>
  <c r="W70" i="16"/>
  <c r="Q70" i="16"/>
  <c r="W69" i="16"/>
  <c r="Q69" i="16"/>
  <c r="W68" i="16"/>
  <c r="Q68" i="16"/>
  <c r="W67" i="16"/>
  <c r="Q67" i="16"/>
  <c r="W66" i="16"/>
  <c r="Q66" i="16"/>
  <c r="W65" i="16"/>
  <c r="Q65" i="16"/>
  <c r="W64" i="16"/>
  <c r="Q64" i="16"/>
  <c r="W63" i="16"/>
  <c r="Q63" i="16"/>
  <c r="W62" i="16"/>
  <c r="Q62" i="16"/>
  <c r="W61" i="16"/>
  <c r="Q61" i="16"/>
  <c r="W60" i="16"/>
  <c r="Q60" i="16"/>
  <c r="W59" i="16"/>
  <c r="Q59" i="16"/>
  <c r="W58" i="16"/>
  <c r="Q58" i="16"/>
  <c r="W57" i="16"/>
  <c r="Q57" i="16"/>
  <c r="W56" i="16"/>
  <c r="Q56" i="16"/>
  <c r="W55" i="16"/>
  <c r="Q55" i="16"/>
  <c r="W54" i="16"/>
  <c r="Q54" i="16"/>
  <c r="W53" i="16"/>
  <c r="Q53" i="16"/>
  <c r="W52" i="16"/>
  <c r="Q52" i="16"/>
  <c r="W51" i="16"/>
  <c r="Q51" i="16"/>
  <c r="W50" i="16"/>
  <c r="Q50" i="16"/>
  <c r="W49" i="16"/>
  <c r="Q49" i="16"/>
  <c r="W48" i="16"/>
  <c r="Q48" i="16"/>
  <c r="W47" i="16"/>
  <c r="Q47" i="16"/>
  <c r="W46" i="16"/>
  <c r="Q46" i="16"/>
  <c r="W45" i="16"/>
  <c r="Q45" i="16"/>
  <c r="W44" i="16"/>
  <c r="Q44" i="16"/>
  <c r="W43" i="16"/>
  <c r="Q43" i="16"/>
  <c r="W42" i="16"/>
  <c r="Q42" i="16"/>
  <c r="W41" i="16"/>
  <c r="Q41" i="16"/>
  <c r="W40" i="16"/>
  <c r="Q40" i="16"/>
  <c r="W39" i="16"/>
  <c r="Q39" i="16"/>
  <c r="W38" i="16"/>
  <c r="Q38" i="16"/>
  <c r="W37" i="16"/>
  <c r="Q37" i="16"/>
  <c r="W36" i="16"/>
  <c r="Q36" i="16"/>
  <c r="W35" i="16"/>
  <c r="Q35" i="16"/>
  <c r="W34" i="16"/>
  <c r="Q34" i="16"/>
  <c r="W33" i="16"/>
  <c r="Q33" i="16"/>
  <c r="W32" i="16"/>
  <c r="Q32" i="16"/>
  <c r="W31" i="16"/>
  <c r="Q31" i="16"/>
  <c r="W30" i="16"/>
  <c r="Q30" i="16"/>
  <c r="W29" i="16"/>
  <c r="Q29" i="16"/>
  <c r="W28" i="16"/>
  <c r="Q28" i="16"/>
  <c r="W20" i="16"/>
  <c r="Q20" i="16"/>
  <c r="W19" i="16"/>
  <c r="Q19" i="16"/>
  <c r="W12" i="16"/>
  <c r="Q12" i="16"/>
  <c r="W11" i="16"/>
  <c r="Q11" i="16"/>
  <c r="W9" i="16"/>
  <c r="Q9" i="16"/>
  <c r="W6" i="16"/>
  <c r="C17" i="1" l="1"/>
  <c r="D6" i="1"/>
  <c r="E14" i="1"/>
  <c r="E6" i="1"/>
  <c r="D7" i="19"/>
  <c r="E7" i="19"/>
  <c r="D16" i="19"/>
  <c r="E16" i="19"/>
  <c r="D15" i="19"/>
  <c r="E15" i="19"/>
  <c r="D14" i="19"/>
  <c r="E14" i="19"/>
  <c r="D13" i="19"/>
  <c r="E13" i="19"/>
  <c r="D12" i="19"/>
  <c r="E12" i="19"/>
  <c r="D11" i="19"/>
  <c r="E11" i="19"/>
  <c r="D10" i="19"/>
  <c r="E10" i="19"/>
  <c r="D9" i="19"/>
  <c r="E9" i="19"/>
  <c r="D8" i="19"/>
  <c r="E8" i="19"/>
  <c r="C3" i="19"/>
  <c r="G11" i="1"/>
  <c r="H11" i="1" s="1"/>
  <c r="D4" i="1" l="1"/>
  <c r="E3" i="19"/>
  <c r="D3" i="19"/>
  <c r="D17" i="1" l="1"/>
  <c r="F4" i="1"/>
  <c r="E4" i="1"/>
  <c r="G5" i="1"/>
  <c r="H5" i="1" s="1"/>
  <c r="G15" i="1"/>
  <c r="H15" i="1" s="1"/>
  <c r="G8" i="1"/>
  <c r="H8" i="1" s="1"/>
  <c r="G7" i="1"/>
  <c r="H7" i="1" s="1"/>
  <c r="G9" i="1"/>
  <c r="H9" i="1" s="1"/>
  <c r="G10" i="1"/>
  <c r="H10" i="1" s="1"/>
  <c r="G12" i="1"/>
  <c r="H12" i="1" s="1"/>
  <c r="G13" i="1"/>
  <c r="H13" i="1" s="1"/>
  <c r="G16" i="1"/>
  <c r="H16" i="1" s="1"/>
  <c r="E17" i="1" l="1"/>
  <c r="G4" i="1"/>
  <c r="F17" i="1"/>
  <c r="H4" i="1"/>
  <c r="G14" i="1"/>
  <c r="H14" i="1" s="1"/>
  <c r="G6" i="1"/>
  <c r="G17" i="1" l="1"/>
  <c r="C18" i="1" s="1"/>
  <c r="H6" i="1"/>
  <c r="H17" i="1"/>
  <c r="F18" i="1"/>
  <c r="D18" i="1"/>
  <c r="E18" i="1"/>
  <c r="G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tc={E5C895C1-C535-43BC-A95A-D56320542109}</author>
  </authors>
  <commentList>
    <comment ref="O3" authorId="0" shapeId="0" xr:uid="{E5C895C1-C535-43BC-A95A-D56320542109}">
      <text>
        <t>[Threaded comment]
Your version of Excel allows you to read this threaded comment; however, any edits to it will get removed if the file is opened in a newer version of Excel. Learn more: https://go.microsoft.com/fwlink/?linkid=870924
Comment:
    Update the Rating Guide based on the Minimum Requirement</t>
      </text>
    </comment>
  </commentList>
</comments>
</file>

<file path=xl/sharedStrings.xml><?xml version="1.0" encoding="utf-8"?>
<sst xmlns="http://schemas.openxmlformats.org/spreadsheetml/2006/main" count="300" uniqueCount="223">
  <si>
    <t xml:space="preserve">       Privacy Risk and Document Assessment Request (PRADAR)</t>
  </si>
  <si>
    <r>
      <rPr>
        <sz val="8"/>
        <color rgb="FF000000"/>
        <rFont val="Arial"/>
      </rPr>
      <t>PRADAR is a 5-in-1 tool that helps your organization to: 
(1) Build a scalable Privacy Management Program (</t>
    </r>
    <r>
      <rPr>
        <b/>
        <sz val="8"/>
        <color rgb="FF000000"/>
        <rFont val="Arial"/>
      </rPr>
      <t>PMP</t>
    </r>
    <r>
      <rPr>
        <sz val="8"/>
        <color rgb="FF000000"/>
        <rFont val="Arial"/>
      </rPr>
      <t>) 
(2) Identify gaps in your current PMP 
(3) Assess PMP maturity; 
(4) Provide a Data Privacy and Accountability Compliance Framework
(5) Act as a Document Request List</t>
    </r>
  </si>
  <si>
    <t>Compliance Levels (Per item)</t>
  </si>
  <si>
    <t>To assess the organization’s privacy practices against legislation and best-practice standards, we use a standardized four-level compliance scoring system: 1 (Not Compliant) to 4 (Fully Compliant) based on the NPC 3rd Toolkit. This ensures consistent evaluation and reporting across all compliance areas.</t>
  </si>
  <si>
    <t>Not Compliant</t>
  </si>
  <si>
    <t>No documented evidence or practice</t>
  </si>
  <si>
    <t>Partially Compliant</t>
  </si>
  <si>
    <t>No documented evidence but there is evidence of practice (initiative)</t>
  </si>
  <si>
    <t>Substantially Compliant</t>
  </si>
  <si>
    <t>Documented evidence exists, but practice is inconsistent</t>
  </si>
  <si>
    <t>Fully Compliant</t>
  </si>
  <si>
    <t>Evidence is documented and in practice</t>
  </si>
  <si>
    <t>Maturity Levels (Overall)</t>
  </si>
  <si>
    <t>These Maturity Levels are patterned on the OAIC Privacy Foundational Self-Assessment Tool and the NIST Privacy Risk Management Framework. They help assess an organization’s current privacy practices and guide the development or improvement of privacy procedures and systems, enabling systematic evaluation and enhancement of each program element for greater consistency, scalability, and compliance.</t>
  </si>
  <si>
    <t>Initial</t>
  </si>
  <si>
    <t>Your organization is just beginning to consider privacy processes, with informal, reactive, and ad hoc practices that are not aligned with organizational priorities or objectives.</t>
  </si>
  <si>
    <t>Commencing</t>
  </si>
  <si>
    <t>Your organization is aware of privacy risks and considers them in decision-making, practices are approved yet not implemented organization-wide, though they align with priorities and risk assessments.</t>
  </si>
  <si>
    <t>Developing</t>
  </si>
  <si>
    <t>Your organization has established strong privacy processes in some areas, while others need development. Policies are formal, approved, and regularly updated based on risks and objectives.</t>
  </si>
  <si>
    <t>Refining</t>
  </si>
  <si>
    <t>Your organization meets most or all foundational privacy processes outlined in this tool. Practices evolve through lessons learned, emerging risks, and advanced technologies, supporting continuous improvement.</t>
  </si>
  <si>
    <t>Status as of</t>
  </si>
  <si>
    <t xml:space="preserve">Overall Maturity Level </t>
  </si>
  <si>
    <r>
      <rPr>
        <sz val="8"/>
        <color rgb="FF000000"/>
        <rFont val="Arial"/>
      </rPr>
      <t xml:space="preserve"> </t>
    </r>
    <r>
      <rPr>
        <b/>
        <sz val="8"/>
        <color rgb="FF000000"/>
        <rFont val="Arial"/>
      </rPr>
      <t>Initial -</t>
    </r>
    <r>
      <rPr>
        <sz val="8"/>
        <color rgb="FF000000"/>
        <rFont val="Arial"/>
      </rPr>
      <t xml:space="preserve"> the organization are just beginning to consider privacy processes in the business. It is recommended, that the organization focus on implementing the recommendations in the Privacy Management Plan Tool and other resources to establish foundational privacy practices.</t>
    </r>
  </si>
  <si>
    <r>
      <rPr>
        <b/>
        <sz val="8"/>
        <color rgb="FF000000"/>
        <rFont val="Arial"/>
      </rPr>
      <t>Commencing -</t>
    </r>
    <r>
      <rPr>
        <sz val="8"/>
        <color rgb="FF000000"/>
        <rFont val="Arial"/>
      </rPr>
      <t xml:space="preserve"> the organization have some privacy processes in place, but they are not systematically embedded across all areas of the business. It is recommended, that the organization  needs to prioritise the recommendations to build a consistent approach to privacy management. </t>
    </r>
  </si>
  <si>
    <r>
      <rPr>
        <b/>
        <sz val="8"/>
        <color rgb="FF000000"/>
        <rFont val="Arial"/>
      </rPr>
      <t xml:space="preserve">Developing </t>
    </r>
    <r>
      <rPr>
        <i/>
        <sz val="8"/>
        <color rgb="FF000000"/>
        <rFont val="Arial"/>
      </rPr>
      <t>-</t>
    </r>
    <r>
      <rPr>
        <sz val="8"/>
        <color rgb="FF000000"/>
        <rFont val="Arial"/>
      </rPr>
      <t xml:space="preserve"> This indicates that the organization have established some strong privacy processes while others need development. It is recommended, that the organization work through the remaining recommendations and begin considering the improvements suggested.
</t>
    </r>
  </si>
  <si>
    <r>
      <rPr>
        <b/>
        <sz val="8"/>
        <color rgb="FF000000"/>
        <rFont val="Arial"/>
      </rPr>
      <t xml:space="preserve">Refining </t>
    </r>
    <r>
      <rPr>
        <i/>
        <sz val="8"/>
        <color rgb="FF000000"/>
        <rFont val="Arial"/>
      </rPr>
      <t>-</t>
    </r>
    <r>
      <rPr>
        <sz val="8"/>
        <color rgb="FF000000"/>
        <rFont val="Arial"/>
      </rPr>
      <t xml:space="preserve"> This indicates that the organization are meeting most or all of the foundational privacy processes for businesses outlined in this tool It is recommended, that the organization work through the remaining recommendations and begin considering the improvements suggested.
</t>
    </r>
  </si>
  <si>
    <t>Summary of Compliance Ratings per Domain</t>
  </si>
  <si>
    <t>Privacy Domains</t>
  </si>
  <si>
    <t xml:space="preserve">Average Rating </t>
  </si>
  <si>
    <t>Compliance</t>
  </si>
  <si>
    <t>Description</t>
  </si>
  <si>
    <t>Establish Data Privacy Governance</t>
  </si>
  <si>
    <t>Privacy Risk Assessment</t>
  </si>
  <si>
    <t>Maintain Organization Commitment</t>
  </si>
  <si>
    <t>Privacy and Data Protection in day to day Operations</t>
  </si>
  <si>
    <t>Manage Security Risk</t>
  </si>
  <si>
    <t>Data Breach Management</t>
  </si>
  <si>
    <t>Manage Third Party Risks</t>
  </si>
  <si>
    <t>Human Resources Management</t>
  </si>
  <si>
    <t>Continuing Assessment and Development</t>
  </si>
  <si>
    <t>Manage Privacy Ecosystem</t>
  </si>
  <si>
    <t>PMP Component</t>
  </si>
  <si>
    <t>PMP Sub-domain</t>
  </si>
  <si>
    <t xml:space="preserve"> Privacy Domain</t>
  </si>
  <si>
    <t>Control Question</t>
  </si>
  <si>
    <t>DRL No.</t>
  </si>
  <si>
    <t>Proof of  Compliance</t>
  </si>
  <si>
    <t>Document Link</t>
  </si>
  <si>
    <t>DRL Status</t>
  </si>
  <si>
    <t>Basis/Minimun Req</t>
  </si>
  <si>
    <t xml:space="preserve"> Assessor</t>
  </si>
  <si>
    <t>Assessment</t>
  </si>
  <si>
    <t>Assessment Status</t>
  </si>
  <si>
    <t>Reviewer's  Status</t>
  </si>
  <si>
    <t>Rating Guide</t>
  </si>
  <si>
    <t>Rating</t>
  </si>
  <si>
    <t>Gaps</t>
  </si>
  <si>
    <t>Client's Comments</t>
  </si>
  <si>
    <t>Client's Status</t>
  </si>
  <si>
    <t>Action Plan</t>
  </si>
  <si>
    <t>Responsible Party</t>
  </si>
  <si>
    <t>Timeline</t>
  </si>
  <si>
    <t>Numeric Rating</t>
  </si>
  <si>
    <t xml:space="preserve">Organizational Commitment </t>
  </si>
  <si>
    <t>Management Buy-in</t>
  </si>
  <si>
    <r>
      <rPr>
        <sz val="12"/>
        <color rgb="FF000000"/>
        <rFont val="Aptos Narrow"/>
      </rPr>
      <t>Does management provide the resources needed to effectively implement your Privacy Management Program (</t>
    </r>
    <r>
      <rPr>
        <b/>
        <sz val="12"/>
        <color rgb="FF000000"/>
        <rFont val="Aptos Narrow"/>
      </rPr>
      <t>PMP</t>
    </r>
    <r>
      <rPr>
        <sz val="12"/>
        <color rgb="FF000000"/>
        <rFont val="Aptos Narrow"/>
      </rPr>
      <t>)?</t>
    </r>
  </si>
  <si>
    <t>Budget allocation document/ Resource Allocation Plans</t>
  </si>
  <si>
    <t>Basis: NPC Circular 2023-06;
The budget should be proportionate to the nature of the personal data, the risks involved in processing, the size of the organization, the volume of data processed, and current data privacy best practices in the industry.</t>
  </si>
  <si>
    <t>Rating 1 – Not Compliant:
No budget or resources for the PMP. Management does not provide support.
Rating 2 – Partially Compliant:
No formal PMP budget. Management provides occasional resources, but allocation is reactive and does not align with risks or best practices.
Rating 3 – Substantially Compliant:
Documented PMP budget exists, but resource allocation is inconsistent. Resources may not be sufficient or aligned with risks, affecting full implementation.
Rating 4 – Fully Compliant:
Approved PMP budget is in place. Management provides adequate resources aligned with risks, data volume, and best practices, ensuring full support for the program.</t>
  </si>
  <si>
    <r>
      <rPr>
        <sz val="12"/>
        <color rgb="FF000000"/>
        <rFont val="Aptos Narrow"/>
      </rPr>
      <t>Has management issued a communication or memorandum outlining the organization’s compliance targets to support adherence to the Data Privacy Act of 2012 (</t>
    </r>
    <r>
      <rPr>
        <b/>
        <sz val="12"/>
        <color rgb="FF000000"/>
        <rFont val="Aptos Narrow"/>
      </rPr>
      <t>DPA</t>
    </r>
    <r>
      <rPr>
        <sz val="12"/>
        <color rgb="FF000000"/>
        <rFont val="Aptos Narrow"/>
      </rPr>
      <t>)?</t>
    </r>
  </si>
  <si>
    <t>Signed policy or statements of commitment to data privacy, 
Data privacy implementation plans or compliance roadmaps endorsed by management, or;
Meeting minutes showing management discussion or approval of data privacy initiatives.</t>
  </si>
  <si>
    <t>Rating 1 – Not Compliant:
No documented communication from management outlining compliance targets for the DPA, and no informal communication exists.
Rating 2 – Partially Compliant:
No formal memo, but there are verbal instructions or informal discussions showing management’s intent to meet privacy compliance.
Rating 3 – Substantially Compliant:
A formal memo exists outlining compliance targets, but practice is inconsistent. The memo may not be fully shared, updated, or supported, leading to partial implementation.
Rating 4 – Fully Compliant:
Management has issued and shared a clear memo outlining data privacy compliance targets, supported by ongoing initiatives and aligned with the DPA.</t>
  </si>
  <si>
    <t>Data Protection Officer</t>
  </si>
  <si>
    <r>
      <rPr>
        <sz val="12"/>
        <color rgb="FF000000"/>
        <rFont val="Aptos Narrow"/>
      </rPr>
      <t>Have you appointed and registered a Data Protection Officer (DPO) with the National Privacy Commission (</t>
    </r>
    <r>
      <rPr>
        <b/>
        <sz val="12"/>
        <color rgb="FF000000"/>
        <rFont val="Aptos Narrow"/>
      </rPr>
      <t>NPC</t>
    </r>
    <r>
      <rPr>
        <sz val="12"/>
        <color rgb="FF000000"/>
        <rFont val="Aptos Narrow"/>
      </rPr>
      <t>)?</t>
    </r>
  </si>
  <si>
    <t>Appointment Papers / Contract of the DPO and/or DPO team (Notarized)</t>
  </si>
  <si>
    <t>Basis: NPC Circular No. 2022-04
Inaugural DPO must be registered with the NPC within 20 days from effectivity of the appointment. Change in the DPO within ten (10) days from effectivity of the appointment of the new DPO
Unless otherwise allowed by law or the Commission, the DPO must be an organic employee of the government agency or private entity.
FOR GOVERNMENT AGENCY
Must designate and register a DPO according to the rank of its highest official:
• Department Secretary or equivalent: DPO rank not lower than Assistant Secretary or Executive Director IV
• Undersecretary or equivalent: DPO rank at least Director IV
• Assistant Secretary or equivalent: DPO rank at least Director II
• Regional Director or equivalent: DPO rank at least Division Chief
For Local Government Units (LGUs):
• Provincial, City, and Municipal levels must designate a DPO with a rank not lower than Department Head.
• Cities and Municipalities may designate a Compliance Officer for Privacy (COP) at the Barangay level, under the supervision of the City or Municipal DPO.</t>
  </si>
  <si>
    <t>Rating 1 – Not Compliant:
No documented appointment or NPC registration of a DPO.
Rating 2 – Partially Compliant:
A DPO is informally designated, but there is no formal appointment or NPC registration.
Rating 3 – Substantially Compliant:
A DPO is formally appointed and registered, but may not fully meet eligibility requirements or registration is delayed.
Rating 4 – Fully Compliant:
A DPO is formally appointed and registered within required timelines. The DPO meets all eligibility criteria, and documentation is complete, up-to-date, and fully compliant.</t>
  </si>
  <si>
    <t>Is the DPO’s role clearly defined?</t>
  </si>
  <si>
    <t>Duties and responsibilities in the Appointment Papers / Contract of the DPO / Privacy Manual</t>
  </si>
  <si>
    <t>Basis: NPC Advisory No. 2017-01
a. Monitor the organization's compliance with the DPA, its IRR, NPC issuances, and other related laws and policies.
b. Oversee the conduct of Privacy Impact Assessments.
c. Handle data subject complaints and requests to exercise their rights.
d. Manage and report data breaches and security incidents. 
e. Promote privacy awareness and compliance within the organization.
f. Support the development and review of privacy-related policies and programs using a privacy-by-design approach.
g. Act as the main contact for data subjects, the NPC, and other authorities on privacy matters.
h. Coordinate and seek guidance from the NPC on data privacy and security concerns.</t>
  </si>
  <si>
    <t>Rating 1 – Not Compliant:
No documented DPO role, and no evidence that key responsibilities are being performed.
Rating 2 – Partially Compliant:
The DPO’s role is not formally documented, but there is evidence of the DPO informally handling some duties. Key responsibilities are not clearly defined or consistently carried out.
Rating 3 – Substantially Compliant:
The DPO’s role is documented and covers several responsibilities, but implementation is inconsistent. Some duties are irregularly or partially carried out, causing gaps between documentation and practice.
Rating 4 – Fully Compliant:
The DPO role is clearly documented, covering all key responsibilities. The DPO consistently performs these duties in practice, demonstrating full compliance.</t>
  </si>
  <si>
    <t>Reporting Mechanisms</t>
  </si>
  <si>
    <t>Is there a defined process for reporting privacy issues, incidents, or breaches, along with regular privacy and compliance reports, clearly communicated to all employees?</t>
  </si>
  <si>
    <t>Documented Escalation / Reporting Procedure</t>
  </si>
  <si>
    <t>Rating 1 – Not Compliant:
No documented process for reporting privacy issues or breaches. Employees do not know how to report incidents, and there are no clear channels or procedures, leading to unreported or unmanaged issues.
Rating 2 – Partially Compliant:
A process exists but is informal or ad-hoc. There is no standardized procedure, and employees report incidents through inconsistent or unstructured channels, with limited communication about the process.
Rating 3 – Substantially Compliant:
A documented process is in place, but it is not consistently implemented. The process may not be fully communicated to all employees, and there are gaps in reporting, escalation, or follow-through.
Rating 4 – Fully Compliant:
A well-documented and clear process for reporting issues or breaches exists. The process is communicated to all employees, consistently followed, and supports timely escalation and response. Employees are fully aware and use the procedure for reporting incidents.</t>
  </si>
  <si>
    <t>Program Controls</t>
  </si>
  <si>
    <t xml:space="preserve">Records of Processing Activities
</t>
  </si>
  <si>
    <r>
      <rPr>
        <sz val="12"/>
        <color rgb="FF000000"/>
        <rFont val="Aptos Narrow"/>
      </rPr>
      <t>Do you have an inventory of all data processing systems (</t>
    </r>
    <r>
      <rPr>
        <b/>
        <sz val="12"/>
        <color rgb="FF000000"/>
        <rFont val="Aptos Narrow"/>
      </rPr>
      <t>DPS</t>
    </r>
    <r>
      <rPr>
        <sz val="12"/>
        <color rgb="FF000000"/>
        <rFont val="Aptos Narrow"/>
      </rPr>
      <t>) and activities?</t>
    </r>
  </si>
  <si>
    <r>
      <rPr>
        <sz val="12"/>
        <color rgb="FF000000"/>
        <rFont val="Aptos Narrow"/>
      </rPr>
      <t>Records of Processing Activities (</t>
    </r>
    <r>
      <rPr>
        <b/>
        <sz val="12"/>
        <color rgb="FF000000"/>
        <rFont val="Aptos Narrow"/>
      </rPr>
      <t>RoPA</t>
    </r>
    <r>
      <rPr>
        <sz val="12"/>
        <color rgb="FF000000"/>
        <rFont val="Aptos Narrow"/>
      </rPr>
      <t xml:space="preserve">) / Data Processing Systems Inventory                                                     </t>
    </r>
  </si>
  <si>
    <t xml:space="preserve">Basis: Section 26(c), IRR
Records should include:
1. The purpose of processing personal data, including any future processing or data sharing;
2. A description of the categories of data subjects, personal data, and recipients involved in the processing;
3. General details on data flow within the organization—from collection, processing, and retention to disposal or deletion—including time limits;
4. A summary of the organizational, physical, and technical security measures in place;
5. The name and contact details of the personal information controller, joint controller (if any), representative, and the DPO or other responsible compliance officers. </t>
  </si>
  <si>
    <t>Rating 1 – Not Compliant:
No documented inventory of data processing systems or activities.
Rating 2 – Partially Compliant:
No formal inventory, but some systems or activities are tracked informally. Records are incomplete and lack required details.
Rating 3 – Substantially Compliant:
A documented inventory exists, covering some required details, but implementation is inconsistent. Some systems or key details may be missing or not regularly updated.
Rating 4 – Fully Compliant:
A complete and updated inventory exists, covering all required details.</t>
  </si>
  <si>
    <t>Registration</t>
  </si>
  <si>
    <t>Have you registered your DPS with the NPC and ensured their annual renewal?</t>
  </si>
  <si>
    <r>
      <rPr>
        <sz val="12"/>
        <color rgb="FF000000"/>
        <rFont val="Aptos Narrow"/>
      </rPr>
      <t>NPC Certificate of Registration and Seal of Registration
DPS Registration via NPC Registration System (</t>
    </r>
    <r>
      <rPr>
        <b/>
        <sz val="12"/>
        <color rgb="FF000000"/>
        <rFont val="Aptos Narrow"/>
      </rPr>
      <t>NPC-RS</t>
    </r>
    <r>
      <rPr>
        <sz val="12"/>
        <color rgb="FF000000"/>
        <rFont val="Aptos Narrow"/>
      </rPr>
      <t>)</t>
    </r>
  </si>
  <si>
    <t>Basis: NPC Circular No. 2022-04
Mandatory Registration:
PICs or PIPs with 250 or more employees;
PICs or PIPs processing sensitive personal information of 1,000 or more individuals;
PICs or PIPs whose processing may pose risks to data subjects’ rights and freedoms; or
Those processing data that may likely risk or affect the rights and freedoms of data subjects (e.g., government processing).
An application for registration filed must be duly notarized and be accompanied by the following documents: 
A. For Government Agencies: Special or Office Order, or any similar document, designating or appointing the DPO; 
B. For Domestic Private Entities:
1. For Corporations: 
a) duly notarized Secretary’s Certificate authorizing the appointment or designation of the DPO; or any other document demonstrating the validity of the appointment or designation of the DPO, signed by the Head of the Organization, accompanied by a valid document conferring authority to the Head of Organization to designate or appoint persons to positions in the organization. 
b) Securities and Exchange Commission (SEC) Certificate of Registration.
c) certified true copy of latest General Information Sheet.
d) valid business permit.
2. One Person Corporation: 
a) duly notarized Secretary’s Certificate authorizing the appointment or designation of DPO, or (2) any other document that demonstrates the validity of the appointment or designation of DPO signed by the sole director of the One Person Corporation.
b) SEC Certificate of Registration 
c) valid business permit
3. Partnership 
a) duly notarized Partnership Resolution or Special Power of Attorney authorizing the appointment or designation of DPO, or any other document that demonstrates the validity of the appointment or designation.
b) SEC Certificate of Registration.
c) valid business permit
4.Sole Proprietorships
a) duly notarized document appointing the DPO and signed by the sole proprietor, in case the same should elect to appoint or designate another person as DPO. 
b) DTI Certificate of Registration.
c) valid business permit
C Foreign Entity: 
1.Authenticated copy or Apostille of Secretary’s Certificate authorizing the appointment or designation of DPO+ English translation if needed
2.Authenticated copy or Apostille of the following documents, with an English translation thereof if in a language other than English, where applicable: a)Latest General Information Sheet or any similar document; b)Registration Certificate (Corporation, Partnership, Sole Proprietorship) or any similar document; c)Valid business permit or any similar document</t>
  </si>
  <si>
    <t>Rating 1 – Not Compliant:
The organization has not registered its DPS with the NPC, and renewals are not done.
Rating 2 – Partially Compliant:
Some effort is shown, like preparing documents or informal tracking of DPS, but no formal submission to the NPC. Registration may be incomplete, and annual renewals are not done.
Rating 3 – Substantially Compliant:
The organization has registered its DPS with the NPC and submitted most required documents, but some are outdated or incomplete. Some DPS may be missing, and renewals may not always be on time.
Rating 4 – Fully Compliant:
All applicable DPS are fully registered with the NPC. All supporting documents are complete and submitted. Annual renewals are done consistently, and records are kept up to date.</t>
  </si>
  <si>
    <t>Risk Assessment</t>
  </si>
  <si>
    <r>
      <rPr>
        <sz val="12"/>
        <color rgb="FF000000"/>
        <rFont val="Aptos Narrow"/>
      </rPr>
      <t>Do you conduct a Privacy Impact Assessment (</t>
    </r>
    <r>
      <rPr>
        <b/>
        <sz val="12"/>
        <color rgb="FF000000"/>
        <rFont val="Aptos Narrow"/>
      </rPr>
      <t>PIA</t>
    </r>
    <r>
      <rPr>
        <sz val="12"/>
        <color rgb="FF000000"/>
        <rFont val="Aptos Narrow"/>
      </rPr>
      <t>) for your DPS?</t>
    </r>
  </si>
  <si>
    <t>PIA Report</t>
  </si>
  <si>
    <t>Basis: NPC Circular 2023-06; NPC Advisory No. 2017-03
A PIA should be evaluated every year: Provided, that such assessment shall be updated as necessary (e.g., new features or major changes in processing, new regulations, new contracts entered by the PIC, or changes in its PIP).
A PIA should be undertaken for every processing system that involves personal data.
The PIA shall include the following:
A. a data inventory identifying: 
1.the amount and type of personal data held by the PIC and its PIP, if any, including records of its own personnel; 
2.list of all information repositories holding personal data, including location; 
3.type of media used for storing the personal data; 
4.risks associated with the processing of personal data; and 
5.processing operations for the entire personal data life cycle, from collection to disposal or destruction; 
B. a systematic description of the personal data being processed or to be processed, including the purposes for such processing, anticipated purposes, and their corresponding lawful bases; 
C. an assessment of the general data privacy principles in relation to the processing; 
D. a holistic assessment of the risks to the rights and freedoms of a data subject; and 
E. an assessment of risks to the confidentiality, integrity, and availability of personal data against any accidental or unlawful destruction, alteration, and disclosure, as well as against any other unlawful processing.
The risks identified in the PIA must be addressed by a Control Framework. 
The contents of a Control Framework shall take into account, among others, the following: 
A. Nature of the personal data to be protected; 
B. Risks represented by the processing, the size of the organization, and the volume of personal data being processed; 
C. Current data privacy best practices in a specific industry; 
D. Cost of security implementation; and 
E. Purpose and extent of data sharing or outsourcing agreements and their attendant risks. 
Must also conduct a PIA on its Off-The-Shelf Software, solutions, or data processing systems.</t>
  </si>
  <si>
    <t>Rating 1 – Not Compliant:
No PIA has been conducted for any DPS.
Rating 2 – Partially Compliant:
PIAs are done informally or ad-hoc for some systems, but there is no formal documentation or consistent schedule. Key elements are missing or inconsistently applied.
Rating 3 – Substantially Compliant:
PIAs are documented for most systems and include some required elements, but updates or implementation are inconsistent. Some assessments may be incomplete or outdated.
Rating 4 – Fully Compliant:
PIAs are conducted for all DPS, including off-the-shelf software and outsourced systems. They are properly documented, reviewed annually, and updated for system changes, new regulations, or features.</t>
  </si>
  <si>
    <t>Policies and Procedures</t>
  </si>
  <si>
    <t>Have you implemented a Privacy Manual / Data Protection Policies?</t>
  </si>
  <si>
    <t>Privacy Manual / Data Protection Policies (e.g., Security Policy, Access Control Policy/Security Clearance, Acceptable Use Policy, Password Policy, Business Continuity Plan, Telecommuting, CCTV Policy, Retention Policy, Privacy-By-Design and Privacy-By-Default principles)</t>
  </si>
  <si>
    <t>Basis: Sec. 26(b)(e), IRR; NPC Privacy 3rd Toolkit p. 82-89
Implement data protection policies covering organizational, physical, and technical security measures. These policies must:
• Consider the nature, scope, context, and purpose of processing, as well as risks to data subjects’ rights and freedoms.
• Apply data protection principles when determining and performing processing activities.
• Ensure only necessary personal data is processed, stored, and accessed.
• Clearly define data volume, processing scope, retention period, and access controls.
• Require regular documentation, review, evaluation, and updating of privacy and security measures.
Privacy Manual Guide
1. Introduction
2. Definition of Terms
3. Scope and Limitations
4. Processing of Personal Data - Collection, Use, Storage, Retention, and Destruction, Access, Disclosure and Sharing
5. Security Measures
• Organizational Measures - Conduct of Privacy Impact Assessment (PIA); Designation of the Data Protection Officer (DPO); Functions of the DPO and other responsible personnel; Duty of Confidentiality; Regular trainings/seminars on data privacy and security; Review of the Privacy Manual; Documentation of DPO and organizational compliance activities
• Physical Measures - Data format, storage type, and location; Access procedures and monitoring controls; Office/workstation design; Roles and responsibilities of personnel involved in processing; Data transfer procedures (internal and external); Data retention and disposal procedures
• Technical Measures - Monitoring for security breaches; Security features of software and applications; Regular testing and evaluation of security measures; Encryption, authentication, and access control procedures
6. Breach and Security Incidents
• Establish a Data Breach Response Team (DBRT)
• Implement preventive and mitigation measures
• Set procedures for data recovery and restoration
• Establish a notification protocol
• Maintain proper documentation and reporting of incidents and breaches
7. Inquiries and Complaints
8. Effectivity</t>
  </si>
  <si>
    <t>Rating 1 – Not Compliant:
No Privacy Manual or formal data protection policies exist. There is no guidance on security measures or evidence that privacy principles are being applied.
Rating 2 – Partially Compliant:
Privacy policies or a manual exist informally or partially, but they are incomplete or applied inconsistently.
Rating 3 – Substantially Compliant:
A Privacy Manual or policies exist, covering most security measures, but implementation is inconsistent. Some areas, like PIAs, breach response, or training, may not be fully implemented or monitored.
Rating 4 – Fully Compliant:
A comprehensive Privacy Manual or data protection policies are documented, implemented, and regularly reviewed and updated. Policies are applied in practice.</t>
  </si>
  <si>
    <t>Data Security</t>
  </si>
  <si>
    <t>Do you implement organizational, physical, and technical security measures to ensure the proper protection of all personal data?</t>
  </si>
  <si>
    <t>Data center and storage areas with limited physical access
Report on technical security measures and information security tools in place
Firewalls implemented
Encryption for data transmission and data storage
Access policy for onsite, remote, and online access
Audit logs maintained
Backup solutions in place
Report of internal security audits or other internal assessments
Certifications or accreditations (e.g., ISO 27001, NPC Privacy Mark)
Vulnerability assessments conducted
Penetration testing for applications and network
Other measures demonstrating compliance</t>
  </si>
  <si>
    <t>Basis: Sec. 25, IRR
Personal information controllers and personal information processors shall implement reasonable and appropriate organizational, physical, and technical security measures for the protection of personal data, taking into account the nature of the personal data to be protected, the risks presented by the processing, the size of the organization and complexity of its operations, current data privacy best practices, cost of security implementation, and the most appropriate standard recognized by the information and communications technology industry, as may be necessary.
As minimum, it must comply with the NPC Circular 2023-06.</t>
  </si>
  <si>
    <t>Rating 1 – Not Compliant:
No security measures (organizational, physical, or technical) are in place to protect personal data. Risks related to processing or data sensitivity are not addressed.
Rating 2 – Partially Compliant:
Some security measures are in place informally, but there is no formal documentation or consistent application. There are gaps in protection, and only certain aspects of security are addressed.
Rating 3 – Substantially Compliant:
Documented security measures exist, covering organizational, physical, and technical safeguards, but implementation is inconsistent. Some measures (e.g., risk assessments, access controls, encryption, staff awareness) may be incomplete or not fully aligned with data risks or best practices.
Rating 4 – Fully Compliant:
All security measures (organizational, physical, and technical) are fully documented, implemented, and consistently applied. Measures are proportional to data sensitivity, processing risks, and industry standards. All controls are maintained to protect personal data from unauthorized access, alteration, or disclosure.</t>
  </si>
  <si>
    <t>Capacity Building</t>
  </si>
  <si>
    <t>Do you regularly train personnel on privacy and security policies?</t>
  </si>
  <si>
    <t>Number of employees who attended privacy and data protection training / Training Attendance Sheet of 
Commitment to comply with the Data Privacy Act included in the Code of Conduct or a signed document filed in each employee’s record</t>
  </si>
  <si>
    <t>Basis: Sec. 26(d), IRR; NPC Circular 2023-06
There shall be capacity building, orientation or training programs for employees, agents or representatives, regarding privacy or security policies. 
Periodically train employees, agents, personnel, or representatives on privacy and data protection policies.</t>
  </si>
  <si>
    <t>Rating 1 – Not Compliant:
No training or orientation on privacy or security policies. Personnel are unaware of data protection requirements.
Rating 2 – Partially Compliant:
Training is informal or irregular, with no formal schedule or documentation. Some personnel may have received privacy or security guidance, but it is not comprehensive or consistently delivered.
Rating 3 – Substantially Compliant:
Formal, documented training programs exist, but participation is inconsistent. Some personnel may not have attended, or refresher training may be irregular or incomplete.
Rating 4 – Fully Compliant:
Regular, documented training is provided for all employees, agents, and representatives. The training covers privacy, security policies, and data protection principles, and is consistently delivered, monitored, and updated according to legal requirements.</t>
  </si>
  <si>
    <r>
      <rPr>
        <sz val="12"/>
        <color rgb="FF000000"/>
        <rFont val="Aptos Narrow"/>
      </rPr>
      <t>Do you require Non-Disclosure Agreements (</t>
    </r>
    <r>
      <rPr>
        <b/>
        <sz val="12"/>
        <color rgb="FF000000"/>
        <rFont val="Aptos Narrow"/>
      </rPr>
      <t>NDAs</t>
    </r>
    <r>
      <rPr>
        <sz val="12"/>
        <color rgb="FF000000"/>
        <rFont val="Aptos Narrow"/>
      </rPr>
      <t>) and issue Security Clearances for personnel handling personal data?</t>
    </r>
  </si>
  <si>
    <t>NDAs or confidentiality agreements
Security Clearance Policy / Access Control Policy (may be in Privacy Manual)</t>
  </si>
  <si>
    <t xml:space="preserve">Basis: Sec. 26(d), IRR; NPC Circular 2023-06
Employees, agents, or representatives shall operate and hold personal data under strict confidentiality if the personal data are not intended for public disclosure. This obligation shall continue even after leaving the public service, transferring to another position, or upon terminating their employment or contractual relations.
Must ensure that access to personal data is strictly regulated by issuing a security clearance or its equivalent only to its authorized personnel. A copy of the appropriate security clearance or its equivalent must be filed with its DPO. </t>
  </si>
  <si>
    <t>Rating 1 – Not Compliant:
No evidence that personnel handling personal data sign NDAs or have security clearances. Access to personal data is unregulated, and confidentiality is not enforced.
Rating 2 – Partially Compliant:
NDAs or security clearances are applied informally or inconsistently. Some personnel may have signed agreements, but documentation is incomplete or not consistently enforced.
Rating 3 – Substantially Compliant:
NDAs and security clearances are documented and issued, but implementation is inconsistent. Some personnel may lack proper authorization, or updates and monitoring of confidentiality obligations are irregular.
Rating 4 – Fully Compliant:
All personnel handling personal data sign NDAs and are issued security clearances. Documentation is maintained with the DPO, access is strictly controlled, and confidentiality obligations are consistently enforced, even after employment or contract termination, in line with legal requirements.</t>
  </si>
  <si>
    <t xml:space="preserve">Is there ongoing training and capacity building for the DPO, and does the DPO pursue certifications and membership in recognized DPO organizations?
</t>
  </si>
  <si>
    <t>Certificate of Training of DPO
Certifications of DPOs</t>
  </si>
  <si>
    <t>Basis: NPC Privacy 3rd Toolkit p. 126-127
The Commission does not require certifications for key personnel. However, it is considered best practice across jurisdictions for organizations to properly equip their personnel with appropriate trainings that enable them to fulfill their specific roles and functions. 
Some international certifications or training commonly considered  for this purpose include the following 
-Certified Information Systems Auditor (CISA).
-Certified Information Security Manager (CISM)
-Certified in the Governance of Enterprise IT (CGEIT).
-Certified Information Systems Security Professionals (CISSP)
-GIAC Security Essentials (GSEC)
-Project Management Professional (PMP)
-Certified Information Privacy Manager (CIPM)
-Certified Information Privacy Professional (CIPP)
-Certified Information Privacy Technologist (CIPT)</t>
  </si>
  <si>
    <t>Rating 1 – Not Compliant:
No evidence of training or professional development for the DPO. The DPO does not pursue certifications or join recognized privacy/security organizations.
Rating 2 – Partially Compliant:
The DPO participates in some informal or ad-hoc training, but it is not systematic or documented. Pursuit of certifications or memberships is limited or inconsistent, with no formal plan for ongoing development.
Rating 3 – Substantially Compliant:
Ongoing training and capacity-building are documented and available to the DPO, but participation may be irregular. Some recommended certifications or memberships have not been pursued.
Rating 4 – Fully Compliant:
The DPO regularly participates in documented training and development programs, actively pursues relevant certifications (e.g., CISA, CISM, CIPM, CIPP), and joins recognized privacy/security organizations.</t>
  </si>
  <si>
    <t>Breach Management</t>
  </si>
  <si>
    <t>Have you implemented safeguards to prevent or minimize personal data breaches?</t>
  </si>
  <si>
    <t>Schedule of breach drills
Number of Trainings conducted 
for internal personnel on breach 
management
Personnel Order constituting the Data Breach Response Team
Incident Response Policy and 
Procedure (may be in Privacy Manual)</t>
  </si>
  <si>
    <t>Basis: Sec. 26(d), IRR
Regular monitoring for security breaches, and a process both for identifying and accessing reasonably foreseeable vulnerabilities in their computer networks, and for taking preventive, corrective, and mitigating action against security incidents that can lead to a personal data breach
Security Incident Management Policy
A Personal Information Controller (PIC) or Personal Information Processor (PIP) must have clear policies and procedures for managing security incidents, including personal data breaches. These must ensure:
A. Establishment of a Data Breach Response Team with clearly defined roles to ensure timely action during a security incident or breach.
B. Implementation of organizational, physical, and technical security measures to prevent or minimize data breaches and enable timely detection of security incidents.
C. Adoption of an incident response procedure to contain breaches and restore system integrity.
D. Mitigation measures to minimize harm and negative consequences to affected data subjects.
E. Compliance with the Data Privacy Act, its IRR, and NPC issuances on breach notification.
A Security Incident Management Policy must also include preventive safeguards to reduce the likelihood of data breaches, such as:
A. Conducting Privacy Impact Assessments (PIAs) to identify risks in data processing, considering data sensitivity, potential harm, and impact of breaches.
B. Establishing a Data Governance Policy to uphold transparency, legitimate purpose, and proportionality.
C. Implementing security measures to protect the availability, integrity, and confidentiality of personal data.
D. Performing regular monitoring, vulnerability scans, and breach detection on computer networks.
E. Ensuring capacity building and training for personnel on data breach management and incident response procedures.
F. Regularly reviewing, testing, and evaluating the effectiveness of security policies and procedures.</t>
  </si>
  <si>
    <t>Rating 1 – Not Compliant:
No safeguards or incident response processes for personal data breaches. No Security Incident Management Policy or Data Breach Response Team exists.
Rating 2 – Partially Compliant:
Some informal or ad-hoc measures exist but are not consistently applied. No formal team or documented process for managing breaches.
Rating 3 – Substantially Compliant:
A documented Security Incident Management Policy and safeguards exist, covering breach response and monitoring, but implementation is inconsistent. Some key elements may not be fully applied or maintained.
Rating 4 – Fully Compliant:
Comprehensive safeguards are in place to prevent or minimize personal data breaches. Policies are documented. Security controls are regularly tested, reviewed, and updated to ensure compliance and timely breach response.</t>
  </si>
  <si>
    <t xml:space="preserve">Do you document security incidents and personal data breaches, and comply with breach notification requirements?
</t>
  </si>
  <si>
    <t>Record of Security incidents and 
personal data breaches, including notification for personal data breaches / Annual Security Incident Report (ASIR)</t>
  </si>
  <si>
    <t>Basis: NPC Circular 2023-06; NPC Breach Reporting
All security incidents and personal data breaches shall be documented through written reports, including those not covered by the notification requirements. For other security incidents not involving personal data, a report containing aggregated data shall constitute sufficient documentation.
An ASIR must be submitted to the NPC each year. It includes all security incidents and personal data breaches that occurred within the calendar year, even those not subject to mandatory notification.
The ASIR must contain:
• The total number of incidents and breaches encountered; and
• The classification of incidents based on their causes and whether they were mandatory, voluntary, or other security incidents.
Following the launch of the Data Breach Notification Management System (DBNMS), all ASIRs must be submitted exclusively through the system. The deadline for submission of the ASIR for the previous calendar year is 31 March of the current year.</t>
  </si>
  <si>
    <t>Rating 1 – Not Compliant:
No documentation of security incidents or personal data breaches. The organization does not comply with ASIR submission or breach notification requirements. Incidents are unrecorded and unreported.
Rating 2 – Partially Compliant:
Some incidents or breaches are documented, but records are incomplete or inconsistent. ASIRs may be missing required details, and breach notification requirements are only partially met.
Rating 3 – Substantially Compliant:
Incidents and breaches are documented, and ASIRs are submitted, but there are gaps in classification, coverage, or timeliness. Some incidents may be missing.
Rating 4 – Fully Compliant:
All incidents and breaches are thoroughly documented, and ASIRs are submitted annually on time. Documentation is complete and accurate.</t>
  </si>
  <si>
    <t>Third-Party Management</t>
  </si>
  <si>
    <t>Do you execute Data Sharing Agreements and review or enter into contracts and other agreements for personal data transfers, including cross-border transfers, to ensure a comparable level of data protection, compliance with the DPA, and security of the transfers?</t>
  </si>
  <si>
    <t>Data Sharing Agreements or a similar document
Model Contractual Clauses for Cross-Border Transfers of Personal Data if applicable
List of recipients of personal data (PIPs, other PICs, service providers, government agencies)</t>
  </si>
  <si>
    <t>Basis: NPC Circular No. 2020-03; NPC Advisory No. 2024 - 01
Contents of a Data Sharing Agreement
A. Purpose and lawful basis
B. Objectives
C. Parties
D. Term
E. Operational details
F. Security
G. Data subjects’ rights
H. Retention and Data Disposal
Record of data sharing arrangements. — should establish and maintain a record of its data sharing arrangements, including the following:
A. Contact details of all parties, including their respective data protection officers;
B. Legal bases for the data sharing arrangement/s;
C. Copy of the DSA/s, if executed;
D. Written, recorded, or electronic proof of the consent obtained from data subjects, where applicable; and
E. Date and/or time consent was obtained and withdrawn, where applicable.</t>
  </si>
  <si>
    <t>Rating 1 – Not Compliant:
No agreements or records for personal data transfers. Transfers happen without safeguards or compliance with the DPA.
Rating 2 – Partially Compliant:
Some agreements exist, but they’re informal or incomplete. Key details may be missing, and records are inconsistent.
Rating 3 – Substantially Compliant:
Most agreements are documented with key details, but implementation and record-keeping are inconsistent. Some transfers lack full consent or security measures, and cross-border transfers may not ensure full data protection.
Rating 4 – Fully Compliant:
All transfers, including cross-border, have documented agreements covering all required details. Records are maintained, regularly reviewed, and fully comply with the DPA and relevant regulations.</t>
  </si>
  <si>
    <r>
      <rPr>
        <sz val="12"/>
        <color rgb="FF000000"/>
        <rFont val="Aptos Narrow"/>
      </rPr>
      <t>Do you review or enter into outsourcing contracts with Personal Information Processors (</t>
    </r>
    <r>
      <rPr>
        <b/>
        <sz val="12"/>
        <color rgb="FF000000"/>
        <rFont val="Aptos Narrow"/>
      </rPr>
      <t>PIPs</t>
    </r>
    <r>
      <rPr>
        <sz val="12"/>
        <color rgb="FF000000"/>
        <rFont val="Aptos Narrow"/>
      </rPr>
      <t>) to ensure a comparable level of data protection and compliance with the DPA?</t>
    </r>
  </si>
  <si>
    <t>Data Outsourcing / Subcontracting Agreements or formal contracts or other legal acts</t>
  </si>
  <si>
    <t>Basis: Sec. 44, IRR
Contents of a Data Outsourcing/ Subcontracting Agreement
A. The subject and duration of the processing;
B. The nature and purpose of the processing;
C. The type of personal data and categories of data subjects;
D. The obligations and rights of the PIC; and
E. The geographic location of processing under the subcontracting arrangement.
F. The contract or legal act must also require the PIP to:
• Process personal data only upon documented instructions from the PIC, including international transfers, unless authorized by law;
• Impose confidentiality obligations on all personnel authorized to process personal data;
• Implement appropriate security measures and comply with the DPA, its IRR, and NPC issuances;
• Avoid engaging another processor without prior approval from the PIC, ensuring equivalent data protection obligations if subcontracting occurs;
• Assist the PIC in responding to data subject requests;
• Support the PIC’s compliance with the DPA, related laws, and NPC rules, considering the nature of processing;
• Delete or return all personal data to the PIC upon completion of services, including deleting copies unless retention is legally authorized;
• Provide all necessary information to demonstrate compliance and allow audits or inspections by the PIC or its authorized auditor; and
• Inform the PIC immediately if any instruction appears to violate the DPA, its IRR, or NPC issuances.</t>
  </si>
  <si>
    <t>Rating 1 – Not Compliant:
No outsourcing agreements/contracts with PIPs, or existing contracts lack data protection, confidentiality, or DPA compliance provisions. No oversight or monitoring of PIPs.
Rating 2 – Partially Compliant:
Contracts with PIPs exist, but they are informal, incomplete, or inconsistently applied. Key elements are missing. Limited oversight and monitoring of PIP compliance.
Rating 3 – Substantially Compliant:
Outsourcing agreements with PIPs are documented and cover most required elements, but implementation or monitoring is inconsistent. Some obligations may not be fully applied.
Rating 4 – Fully Compliant:
All outsourcing contracts with PIPs are documented, comprehensive, and consistently enforced. PIP activities are regularly monitored and reviewed.</t>
  </si>
  <si>
    <t>Communication</t>
  </si>
  <si>
    <t>Where personal data is collected, do you provide clear and easily accessible Privacy Notices with the DPO’s contact details?</t>
  </si>
  <si>
    <t xml:space="preserve">Privacy Notice on the website and/or within the organization (where personal data is collected) and CCTV Notice (if applicable)
Visible announcement displaying the DPO’s contact details (e.g., on the website or in the Privacy Notice)
</t>
  </si>
  <si>
    <t>Basis: Sec. 18, 34(2), IRR; NPC Advisory No. 2017-01; NPC Circular No. 2023 - 04; NPC Circular No. 2024 – 02
PRIVACY NOTICE
Default format: Just-in-time and Layered Notices
Just-in-time/Short Privacy Notice: 
At a minimum, the following information must be clearly stated: 
(a) a description of the personal data to be processed; 
(b) the purpose, nature, extent, duration, and scope of processing based on consent; 
(c) the identity of the PIC; 
(d) the data subject’s rights and how these rights can be exercised.
Full Privact Notice:
The data subject must be informed about how their personal data is collected and processed, including its purpose, scope, risks, safeguards, and their rights. All information must be easy to access and written in clear, plain language. The Privacy Notice must include:
(a) Description of the personal data collected;
(b) Purpose of processing, including for marketing, profiling, or research;
(c) Legal basis for processing, if not based on consent;
(d) Scope and method of processing;
(e) Recipients or possible recipients of the data;
(f) Methods for automated access (if applicable), including the logic, purpose, and effects of such processing;
(g) Identity and contact details of the personal data controller or representative;
(h) Retention period of the personal data;
(i) Risks and safeguards
(j) Data subject rights, including access, correction, objection, and the right to file a complaint with the NPC.
CCTV NOTICE
The requirements above must apply. In addition, PICs must ensure that CCTV notices comply with the following:
(a) Information about the use of CCTV systems must be provided in the most suitable format and written in clear, plain, and concise language.
(b) CCTV notices must be clearly visible and prominently displayed in appropriate areas, such as entry points or other conspicuous locations.
(c) The nature, scope, and extent of surveillance, as well as the purpose, system capabilities, and other relevant details, must be disclosed to data subjects in line with their right to be informed under the DPA.
DISPLAY OF DPO'S CONTACT DETAILS
The DPO’s contact details must be included in at least the following materials:
 a. Website
 b. Privacy Notice
 c. Privacy Policy
 d. Privacy Manual or Privacy Guide
The DPO’s contact details should include:
 a. Title or designation
 b. Postal address
 c. Dedicated telephone number
 d. Dedicated email address</t>
  </si>
  <si>
    <t>Rating 1 – Not Compliant:
No privacy notices are provided where personal data is collected, and DPO contact details are missing. Data subjects are not informed of how their data is processed or their rights.
Rating 2 – Partially Compliant:
Privacy notices are provided in some instances but may lack key information or be difficult to access. DPO contact details may be inconsistent, and notices may not cover all required elements.
Rating 3 – Substantially Compliant:
Privacy notices are documented and available, covering most required information. Some notices may be inconsistent or incomplete across collection points, and DPO contact details are included in some materials but not all.
Rating 4 – Fully Compliant:
Clear, accessible privacy notices are provided everywhere personal data is collected, covering all required elements. DPO contact details are consistently included across all required materials, written in plain and understandable language.</t>
  </si>
  <si>
    <t>If applicable, do you have a procedure for obtaining consent?</t>
  </si>
  <si>
    <t>Procedures for obtaining consent and a Consent Form (may be included in Privacy Manual)</t>
  </si>
  <si>
    <t>Basis: NPC Circular No. 2023 - 04
The consent form must include all information required in a Privacy Notice and clearly state that consent is the lawful basis for processing. It should present the PIC’s proposal to the data subject, requesting their consent to process personal data under the terms stated in the form.</t>
  </si>
  <si>
    <t>Rating 1 – Not Compliant:
No procedure or consent forms exist. Personal data is processed without informing the data subject or obtaining lawful consent.
Rating 2 – Partially Compliant:
A procedure or consent form exists but is informal, incomplete, or inconsistently applied. Required details from the Privacy Notice may be missing, or the form may not clearly state consent as the lawful basis.
Rating 3 – Substantially Compliant:
A documented procedure exists, and forms generally include required information. Implementation is inconsistent, or some forms lack clarity on the lawful basis or processing terms.
Rating 4 – Fully Compliant:
A formal, documented procedure for obtaining consent is in place. Consent forms include all required information and clearly state consent as the lawful basis. The procedure is consistently applied, ensuring proper data subject information and valid consent.</t>
  </si>
  <si>
    <t>Have you established procedures or a platform for data subjects to exercise their rights and to handle requests from third parties?</t>
  </si>
  <si>
    <t>Form or platform for data subjects to exercise their rights, and a Request Form (may be included in the Privacy Manual / Privacy Notice)
Policies and procedures for handling requests for information from third parties (e.g., media, law enforcement, representatives), and a Request Form (may be included in the Privacy Manual/Privacy Notice)</t>
  </si>
  <si>
    <t>Basis: NPC Advisory No. 2021 - 01; NPC Circular No. 2024 – 02
DATA SUBJECT REQUEST
The following should be considered:
A. Request Form
• No required standard form, but the process must be clear, simple, and convenient.
• Data subjects must be informed of the process
• May use a standard form but must still act on valid requests even without it.
• Sample forms for access, rectification, and erasure (Annexes A, B, and C of NPC Advisory No. 2021 - 01 ) may be modified as needed
B. Verification of Identity. 
• Must use reasonable measures to verify the requester’s identity and may require supporting documents.
• For representatives, PICs may request proof of authorization and supporting documents.
• For legal heirs or assigns, PICs may require: a) Death Certificate of the data subject; b) Birth Certificate of heirs or assigns; c) Other supporting documents to verify identity and authority
• For organizations requesting on behalf of members, PICs may require proof of authorization, membership validation, and authority to represent affected data subjects.
C. Assistance of PIPs
• PICs must ensure that their PIPs cooperate in handling requests for data subject rights through contractual or other reasonable means.
D. Fees and Charges
• Should not charge fees for data subject rights requests.
• Reasonable administrative fees may be charged for copies of personal data, but they must not discourage requests.
E. Compliance Period
• Must respond without undue delay, and no later than 30 working days from receipt of the request or necessary documentation.
• For complex or numerous requests, an extension of up to 15 working days may be allowed, with written notice of the reason for delay.
• Government agencies must comply with Republic Act No. 11032 (Ease of Doing Business Act) and its IRR.
• For CCTV:  
1. Viewing requests: must be completed within five (5) working days from receipt of the request.
2. Requests for copies: must be completed within fifteen (15) working days from receipt of the request.
3. Complex or involves multiple CCTV footage, may extend the processing period by up to fifteen (15) additional working days.
A request is considered officially submitted once the requesting party has complied with all requirements. In case of an extension, the PIC or its PIP must notify the data subject or authorized representative in writing, stating the reason for the extension and the expected date of compliance.
F. Retention
• Must not retain personal data solely for future access or portability requests.
• Data should only be retained for as long as necessary to fulfill its original purpose.
THIRD-PARTY REQUEST
The same policies and procedures for data subject requests shall apply. The following must be observed:
A. Evaluation of Requests
• Must assess each request based on the Data Privacy Act (DPA), its IRR, NPC issuances, and other applicable laws
• Disclosure methods must be secure to ensure only the intended recipient can access the information
B. Lawful Disclosure
• Allowed only under the following conditions, in accordance with Sections 4, 12, and 13 of the DPA:</t>
  </si>
  <si>
    <t>Rating 1 – Not Compliant:
No procedures or platform for data subjects or third parties to exercise their rights. No processing, guidance, verification, or response mechanism.
Rating 2 – Partially Compliant:
Informal or incomplete procedures. Requests may be inconsistent, with inadequate verification, missed timelines, or obstacles to submission. Third-party requests may not meet legal requirements.
Rating 3 – Substantially Compliant:
Documented procedures generally cover submission, verification, response times, and retention. Some aspects (e.g., complex requests or third-party coordination) may be inconsistently applied.
Rating 4 – Fully Compliant:
Comprehensive, consistent procedures or platforms are in place. Requests are processed with clear forms, identity checks, secure disclosure, and compliance with timelines and legal requirements.</t>
  </si>
  <si>
    <t>Oversight and Continuous Improvement</t>
  </si>
  <si>
    <t xml:space="preserve">Oversight and Review Plan
</t>
  </si>
  <si>
    <t>Do you have policies and schedules in place for the regular review, assessment, and updating of your privacy and security practices?</t>
  </si>
  <si>
    <t>Policy on conduct of Internal 
Assessments and Security Audits
Privacy Manual contains policy for regular review</t>
  </si>
  <si>
    <t>Basis: Sec. 26(b)(3), IRR
The polices shall provide for documentation, regular review, evaluation, and updating of the privacy and security policies and practices.</t>
  </si>
  <si>
    <t>Rating 1 – Not Compliant:
No policies or schedules for reviewing, assessing, or updating privacy and security practices. No formal documentation or outdated policies.
Rating 2 – Partially Compliant:
Policies exist but are not consistently reviewed or updated. Schedules are informal or irregular, and assessments or updates are not well documented.
Rating 3 – Substantially Compliant:
Policies and schedules for review and updates are documented but applied inconsistently. Some practices may not be evaluated regularly or fully updated.
Rating 4 – Fully Compliant:
Regularly reviewed and updated policies with documented schedules. Reviews are systematic, findings are recorded, and updates are applied to keep practices effective.</t>
  </si>
  <si>
    <t>Assess and Revise Program Controls</t>
  </si>
  <si>
    <t>Do you review and update forms, contracts, policies and procedures / Privacy Manual annually?</t>
  </si>
  <si>
    <t>Proof of annual review and/or update of RoPA, DPS Inventory, PIA, Privacy Manual / privacy and security policies, PMP, Privacy Notice and Consent Forms, and Data Outsourcing and Sharing Agreements.</t>
  </si>
  <si>
    <t>Rating 1 – Not Compliant:
No regular reviews or updates of forms, contracts, policies, or the Privacy Manual. Outdated or inaccurate materials may be in use.
Rating 2 – Partially Compliant:
Occasional reviews or updates, but no formal schedule. Updates may be inconsistent or limited to certain materials.
Rating 3 – Substantially Compliant:
Annual review and updates planned, but not fully implemented. Most documents are reviewed, but some may be overlooked or updates incomplete.
Rating 4 – Fully Compliant:
All forms, contracts, policies, and the Privacy Manual are reviewed and updated annually, with all updates fully applied and documented.</t>
  </si>
  <si>
    <t>Is the PMP regularly assessed and revised based on the results of PIAs, implementation effectiveness, and current data privacy best practices?</t>
  </si>
  <si>
    <t>PMP Compliance / Gap / Maturity Assessment</t>
  </si>
  <si>
    <t>Rating 1 – Not Compliant:
The PMP is not assessed or revised. PIAs, implementation effectiveness, or best practices are not considered.
Rating 2 – Partially Compliant:
The PMP is occasionally assessed, but revisions are informal or inconsistent. Feedback from PIAs and best practices may not be systematically applied.
Rating 3 – Substantially Compliant:
The PMP is assessed and revised based on PIAs and best practices, but updates may be incomplete or inconsistently documented.
Rating 4 – Fully Compliant:
The PMP is regularly assessed and revised, fully considering PIAs, implementation results, and current best practices. Updates are consistently applied and documented to ensure ongoing effectiveness and compliance.</t>
  </si>
  <si>
    <t xml:space="preserve">Does the organization regularly monitor new technologies, emerging risks, data protection standards, and changes in laws and the ICT environment?
</t>
  </si>
  <si>
    <t>Number of trainings and conferences attended on privacy and data protection
Policy papers, legal or position papers, or research on emerging technologies, data privacy best practices, sector-specific standards, and international data protection standards</t>
  </si>
  <si>
    <t>Rating 1 – Not Compliant:
The organization does not monitor emerging technologies, risks, or legal changes. No processes are in place to stay current with developments.
Rating 2 – Partially Compliant:
Monitoring is sporadic or informal. Updates on technologies, risks, or legal changes may be noted, but there’s no structured process, and coverage is inconsistent.
Rating 3 – Substantially Compliant:
There are documented processes for monitoring technologies, risks, and regulatory changes, but implementation may be inconsistent or not fully integrated into decision-making.
Rating 4 – Fully Compliant:
The organization systematically and regularly monitors emerging technologies, risks, data protection standards, and legal changes. Findings are documented and integrated into policies, controls, and privacy management practices to ensure compliance and mitigate risks.</t>
  </si>
  <si>
    <t>Summary of Document Request List (DRL) Status as of</t>
  </si>
  <si>
    <t>Not Applicable</t>
  </si>
  <si>
    <t>Pending</t>
  </si>
  <si>
    <t>Provided</t>
  </si>
  <si>
    <t>Closed</t>
  </si>
  <si>
    <t>Total</t>
  </si>
  <si>
    <t>Percentage</t>
  </si>
  <si>
    <t>Rating System (Compliance Levels)</t>
  </si>
  <si>
    <t>Score</t>
  </si>
  <si>
    <t>Level</t>
  </si>
  <si>
    <t>Non-Compliant</t>
  </si>
  <si>
    <t>No evidence of implementation. Control is missing or ignored.</t>
  </si>
  <si>
    <r>
      <t>Non-Compliant:</t>
    </r>
    <r>
      <rPr>
        <sz val="8"/>
        <color theme="1"/>
        <rFont val="Arial"/>
        <family val="2"/>
      </rPr>
      <t xml:space="preserve"> No controls or documentation, no management support.</t>
    </r>
  </si>
  <si>
    <t>Control exists but is informal, inconsistently applied, or lacks documentation.</t>
  </si>
  <si>
    <t>Partially Complaint</t>
  </si>
  <si>
    <r>
      <t>Partially Compliant:</t>
    </r>
    <r>
      <rPr>
        <sz val="8"/>
        <color theme="1"/>
        <rFont val="Arial"/>
        <family val="2"/>
      </rPr>
      <t xml:space="preserve"> Some controls exist, but they are inconsistent; limited management support.</t>
    </r>
  </si>
  <si>
    <t>Compliant</t>
  </si>
  <si>
    <t>Control is implemented and documented, but not regularly reviewed or updated.</t>
  </si>
  <si>
    <t>Progressing</t>
  </si>
  <si>
    <r>
      <t>Progressing:</t>
    </r>
    <r>
      <rPr>
        <sz val="8"/>
        <color theme="1"/>
        <rFont val="Arial"/>
        <family val="2"/>
      </rPr>
      <t xml:space="preserve"> Controls are documented but need improvement; management support is moderate.</t>
    </r>
  </si>
  <si>
    <t>Well-Compliant</t>
  </si>
  <si>
    <t>Control is implemented, documented, and regularly reviewed for effectiveness.</t>
  </si>
  <si>
    <r>
      <t>Substantially Compliant:</t>
    </r>
    <r>
      <rPr>
        <sz val="8"/>
        <color theme="1"/>
        <rFont val="Arial"/>
        <family val="2"/>
      </rPr>
      <t xml:space="preserve"> Most controls are effective with minor gaps; strong management support.</t>
    </r>
  </si>
  <si>
    <t>Fully Compliant / Optimized</t>
  </si>
  <si>
    <t>Control is embedded in operations, automated where possible, and continuously improved.</t>
  </si>
  <si>
    <r>
      <t>Fully Compliant:</t>
    </r>
    <r>
      <rPr>
        <sz val="8"/>
        <color theme="1"/>
        <rFont val="Arial"/>
        <family val="2"/>
      </rPr>
      <t xml:space="preserve"> All controls are in place, well-documented, and audited; full management support.</t>
    </r>
  </si>
  <si>
    <t>Data Privacy Act of 2012 (2012)</t>
  </si>
  <si>
    <t>Implementing Rules and Regulations of the DPA (2016)</t>
  </si>
  <si>
    <t>NIST Privacy Framework: A Tool for Improving Privacy through Enterprise Risk Management as a Rating System for Compliance. NIST’s Implementation Tiers was used to create the 5-point scale ranging from Not defined (1) to Adaptive (5).</t>
  </si>
  <si>
    <t>National Privacy Commission Toolkit 3rd Edition (2018) and Issuances (Advisories and Circulars)</t>
  </si>
  <si>
    <t>Office of the Information and Privacy Commissioner for Nova Scotia Privacy Management Program – Gap Analysis (2019)</t>
  </si>
  <si>
    <t xml:space="preserve">Not Defined </t>
  </si>
  <si>
    <r>
      <rPr>
        <b/>
        <sz val="8"/>
        <color rgb="FF000000"/>
        <rFont val="Arial"/>
        <family val="2"/>
      </rPr>
      <t>Not implemented:</t>
    </r>
    <r>
      <rPr>
        <sz val="8"/>
        <color rgb="FF000000"/>
        <rFont val="Arial"/>
        <family val="2"/>
      </rPr>
      <t xml:space="preserve"> No evidence of implementation or awareness of the control. Risk is unmanaged.</t>
    </r>
  </si>
  <si>
    <t>Office of the Australian Information Commissioner Privacy Foundations Self-Assessment Tool (2025)</t>
  </si>
  <si>
    <t>Repeatable</t>
  </si>
  <si>
    <r>
      <rPr>
        <b/>
        <sz val="8"/>
        <color rgb="FF000000"/>
        <rFont val="Arial"/>
        <family val="2"/>
      </rPr>
      <t>Enforced and Monitored:</t>
    </r>
    <r>
      <rPr>
        <sz val="8"/>
        <color rgb="FF000000"/>
        <rFont val="Arial"/>
        <family val="2"/>
      </rPr>
      <t xml:space="preserve"> Risk management practices are formally approved and policy-based. Controls are regularly reviewed and updated as business and risk environments change.</t>
    </r>
  </si>
  <si>
    <t xml:space="preserve">
NIST Privacy Framework 1.1 IPD (2025)</t>
  </si>
  <si>
    <t>Adaptive</t>
  </si>
  <si>
    <r>
      <rPr>
        <b/>
        <sz val="8"/>
        <color rgb="FF000000"/>
        <rFont val="Arial"/>
        <family val="2"/>
      </rPr>
      <t>Measured and Improved:</t>
    </r>
    <r>
      <rPr>
        <sz val="8"/>
        <color rgb="FF000000"/>
        <rFont val="Arial"/>
        <family val="2"/>
      </rPr>
      <t xml:space="preserve"> Controls are continuously improved based on lessons learned, privacy incidents, and technology/policy shifts. Org is proactive and agile in managing privacy.</t>
    </r>
  </si>
  <si>
    <t>Maturity Levels</t>
  </si>
  <si>
    <t>The Combined CMMI–NIST Privacy Maturity Model aligns CMMI’s process maturity levels with the NIST Privacy Framework tiers to assess and improve both operational processes and privacy risk management. It provides a unified approach to embedding privacy into core business practices for greater consistency, scalability, and compliance.</t>
  </si>
  <si>
    <r>
      <rPr>
        <b/>
        <sz val="8"/>
        <color rgb="FF000000"/>
        <rFont val="Arial"/>
        <family val="2"/>
      </rPr>
      <t>Unpredictable and reactive</t>
    </r>
    <r>
      <rPr>
        <sz val="8"/>
        <color rgb="FF000000"/>
        <rFont val="Arial"/>
        <family val="2"/>
      </rPr>
      <t>. Privacy practices are ad hoc, undocumented, and reactive; no formal policies.</t>
    </r>
  </si>
  <si>
    <t>Managed</t>
  </si>
  <si>
    <r>
      <rPr>
        <b/>
        <sz val="8"/>
        <color rgb="FF000000"/>
        <rFont val="Arial"/>
        <family val="2"/>
      </rPr>
      <t>Managed on project level</t>
    </r>
    <r>
      <rPr>
        <sz val="8"/>
        <color rgb="FF000000"/>
        <rFont val="Arial"/>
        <family val="2"/>
      </rPr>
      <t xml:space="preserve">. Basic privacy policies and risk management exist but not yet formalized or consistently enforced organization-wide. </t>
    </r>
  </si>
  <si>
    <t>Defined</t>
  </si>
  <si>
    <r>
      <rPr>
        <b/>
        <sz val="8"/>
        <color rgb="FF000000"/>
        <rFont val="Arial"/>
        <family val="2"/>
      </rPr>
      <t xml:space="preserve">Proactive. </t>
    </r>
    <r>
      <rPr>
        <sz val="8"/>
        <color rgb="FF000000"/>
        <rFont val="Arial"/>
        <family val="2"/>
      </rPr>
      <t>Organization-wide privacy standards are documented, enforced, and supported by training. Controls are regularly reviewed and updated as business and risk environments change.</t>
    </r>
  </si>
  <si>
    <t>Quantitatively Managed</t>
  </si>
  <si>
    <r>
      <rPr>
        <b/>
        <sz val="8"/>
        <color rgb="FF000000"/>
        <rFont val="Arial"/>
        <family val="2"/>
      </rPr>
      <t>Measured and controlled</t>
    </r>
    <r>
      <rPr>
        <sz val="8"/>
        <color rgb="FF000000"/>
        <rFont val="Arial"/>
        <family val="2"/>
      </rPr>
      <t>. Privacy performance is measured and monitored using data and risk-based controls. Controls are tested for effectiveness, and data-driven decisions support compliance efforts.</t>
    </r>
  </si>
  <si>
    <t>Optimized</t>
  </si>
  <si>
    <r>
      <rPr>
        <b/>
        <sz val="8"/>
        <color rgb="FF000000"/>
        <rFont val="Arial"/>
        <family val="2"/>
      </rPr>
      <t>Stable and flexible.</t>
    </r>
    <r>
      <rPr>
        <sz val="8"/>
        <color rgb="FF000000"/>
        <rFont val="Arial"/>
        <family val="2"/>
      </rPr>
      <t xml:space="preserve"> Privacy is continuously improved based on lessons learned,  technology/policy shifts, and proactive strategies. Privacy is embedded into all processes through privacy-by-design.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</si>
</sst>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0.0"/>
  </numFmts>
  <fonts count="78">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sz val="10"/>
      <name val="Arial"/>
      <family val="2"/>
    </font>
    <font>
      <sz val="9"/>
      <name val="Arial Narrow"/>
      <family val="2"/>
    </font>
    <font>
      <u/>
      <sz val="11"/>
      <color theme="10"/>
      <name val="Calibri"/>
      <family val="2"/>
      <scheme val="minor"/>
    </font>
    <font>
      <sz val="15"/>
      <color theme="0"/>
      <name val="KPMG Bold"/>
      <family val="2"/>
    </font>
    <font>
      <sz val="11"/>
      <color theme="1"/>
      <name val="Arial Narrow"/>
      <family val="2"/>
    </font>
    <font>
      <b/>
      <sz val="11"/>
      <color theme="1"/>
      <name val="Arial Narrow"/>
      <family val="2"/>
    </font>
    <font>
      <b/>
      <i/>
      <sz val="12"/>
      <name val="Arial Narrow"/>
      <family val="2"/>
    </font>
    <font>
      <b/>
      <sz val="9"/>
      <color theme="1" tint="0.34998626667073579"/>
      <name val="Arial Narrow"/>
      <family val="2"/>
    </font>
    <font>
      <sz val="11"/>
      <color theme="1"/>
      <name val="KPMG Bold"/>
      <family val="2"/>
    </font>
    <font>
      <sz val="12"/>
      <color theme="1"/>
      <name val="Arial Narrow"/>
      <family val="2"/>
    </font>
    <font>
      <b/>
      <sz val="15"/>
      <color theme="0"/>
      <name val="KPMG Bold"/>
      <family val="2"/>
    </font>
    <font>
      <b/>
      <sz val="12"/>
      <color theme="0"/>
      <name val="Calibri"/>
      <family val="2"/>
      <scheme val="minor"/>
    </font>
    <font>
      <sz val="12"/>
      <color theme="1"/>
      <name val="Calibri"/>
      <family val="2"/>
      <scheme val="minor"/>
    </font>
    <font>
      <b/>
      <sz val="11"/>
      <color theme="1"/>
      <name val="KPMG Bold"/>
      <family val="2"/>
    </font>
    <font>
      <sz val="8"/>
      <name val="Calibri"/>
      <family val="2"/>
      <scheme val="minor"/>
    </font>
    <font>
      <sz val="8"/>
      <name val="KPMG Bold"/>
      <family val="2"/>
    </font>
    <font>
      <sz val="9"/>
      <color theme="0"/>
      <name val="Arial Narrow"/>
      <family val="2"/>
    </font>
    <font>
      <sz val="9"/>
      <color theme="1"/>
      <name val="Arial Narrow"/>
      <family val="2"/>
    </font>
    <font>
      <sz val="16"/>
      <color theme="1"/>
      <name val="Calibri"/>
      <family val="2"/>
      <scheme val="minor"/>
    </font>
    <font>
      <b/>
      <sz val="16"/>
      <color theme="0"/>
      <name val="Calibri"/>
      <family val="2"/>
      <scheme val="minor"/>
    </font>
    <font>
      <b/>
      <sz val="16"/>
      <color theme="8" tint="-0.499984740745262"/>
      <name val="KPMG Bold"/>
      <family val="2"/>
    </font>
    <font>
      <b/>
      <sz val="12"/>
      <color theme="0"/>
      <name val="KPMG Bold"/>
      <family val="2"/>
    </font>
    <font>
      <b/>
      <sz val="16"/>
      <color rgb="FF1F4E78"/>
      <name val="KPMG Bold"/>
      <family val="2"/>
    </font>
    <font>
      <b/>
      <sz val="9"/>
      <color rgb="FF000000"/>
      <name val="Arial Narrow"/>
      <family val="2"/>
    </font>
    <font>
      <b/>
      <sz val="14"/>
      <color rgb="FF002060"/>
      <name val="Arial"/>
      <family val="2"/>
    </font>
    <font>
      <sz val="10"/>
      <color theme="1"/>
      <name val="Arial"/>
      <family val="2"/>
    </font>
    <font>
      <b/>
      <sz val="10"/>
      <color rgb="FF000000"/>
      <name val="Arial"/>
      <family val="2"/>
    </font>
    <font>
      <b/>
      <sz val="8"/>
      <color theme="1"/>
      <name val="Arial"/>
      <family val="2"/>
    </font>
    <font>
      <sz val="8"/>
      <color theme="1"/>
      <name val="Arial"/>
      <family val="2"/>
    </font>
    <font>
      <i/>
      <sz val="8"/>
      <color rgb="FF000000"/>
      <name val="Arial"/>
      <family val="2"/>
    </font>
    <font>
      <b/>
      <sz val="8"/>
      <color rgb="FF000000"/>
      <name val="Arial"/>
      <family val="2"/>
    </font>
    <font>
      <sz val="8"/>
      <color rgb="FF000000"/>
      <name val="Arial"/>
      <family val="2"/>
    </font>
    <font>
      <i/>
      <sz val="8"/>
      <color theme="1"/>
      <name val="Arial"/>
      <family val="2"/>
    </font>
    <font>
      <sz val="9"/>
      <color rgb="FF424242"/>
      <name val="Arial"/>
      <family val="2"/>
    </font>
    <font>
      <sz val="12"/>
      <color theme="1"/>
      <name val="Aptos Narrow"/>
    </font>
    <font>
      <sz val="12"/>
      <color rgb="FF000000"/>
      <name val="Aptos Narrow"/>
    </font>
    <font>
      <sz val="12"/>
      <name val="Aptos Narrow"/>
    </font>
    <font>
      <sz val="12"/>
      <color rgb="FF002060"/>
      <name val="Aptos Narrow"/>
    </font>
    <font>
      <b/>
      <sz val="10"/>
      <color theme="0"/>
      <name val="kpmg bold"/>
    </font>
    <font>
      <b/>
      <sz val="11"/>
      <color theme="0"/>
      <name val="kpmg bold"/>
    </font>
    <font>
      <i/>
      <sz val="9"/>
      <name val="Arial"/>
    </font>
    <font>
      <i/>
      <sz val="8"/>
      <name val="Arial"/>
    </font>
    <font>
      <i/>
      <sz val="8"/>
      <color theme="1"/>
      <name val="Arial"/>
    </font>
    <font>
      <sz val="8"/>
      <color theme="1"/>
      <name val="Arial"/>
    </font>
    <font>
      <b/>
      <sz val="14"/>
      <color theme="0"/>
      <name val="kpmg bold"/>
    </font>
    <font>
      <sz val="12"/>
      <color theme="4" tint="-0.249977111117893"/>
      <name val="Aptos Narrow"/>
    </font>
    <font>
      <sz val="8"/>
      <color rgb="FF000000"/>
      <name val="Arial"/>
    </font>
    <font>
      <i/>
      <sz val="8"/>
      <color rgb="FF000000"/>
      <name val="Arial"/>
    </font>
    <font>
      <b/>
      <sz val="14"/>
      <color rgb="FF002060"/>
      <name val="Arial"/>
    </font>
    <font>
      <sz val="10"/>
      <color theme="1"/>
      <name val="Arial"/>
    </font>
    <font>
      <b/>
      <sz val="10"/>
      <color rgb="FF000000"/>
      <name val="Arial"/>
    </font>
    <font>
      <sz val="11"/>
      <color theme="1"/>
      <name val="Arial Narrow"/>
    </font>
    <font>
      <sz val="9"/>
      <color theme="1"/>
      <name val="Arial Narrow"/>
    </font>
    <font>
      <i/>
      <sz val="10"/>
      <color theme="1"/>
      <name val="Arial Narrow"/>
    </font>
    <font>
      <i/>
      <sz val="10"/>
      <name val="Arial Narrow"/>
    </font>
    <font>
      <b/>
      <sz val="9"/>
      <color theme="1"/>
      <name val="Arial Narrow"/>
    </font>
    <font>
      <sz val="9"/>
      <color rgb="FF000000"/>
      <name val="Arial Narrow"/>
    </font>
    <font>
      <sz val="9"/>
      <name val="Arial Narrow"/>
    </font>
    <font>
      <b/>
      <sz val="11"/>
      <color theme="1"/>
      <name val="Arial Narrow"/>
    </font>
    <font>
      <b/>
      <sz val="11"/>
      <color rgb="FF000000"/>
      <name val="kpmg bold"/>
    </font>
    <font>
      <b/>
      <sz val="12"/>
      <color theme="0"/>
      <name val="kpmg bold"/>
    </font>
    <font>
      <b/>
      <sz val="12"/>
      <color rgb="FF000000"/>
      <name val="kpmg bold"/>
    </font>
    <font>
      <b/>
      <sz val="15"/>
      <color theme="0"/>
      <name val="KPMG Bold"/>
    </font>
    <font>
      <sz val="12"/>
      <color rgb="FF002060"/>
      <name val="KPMG Bold"/>
      <family val="2"/>
    </font>
    <font>
      <b/>
      <sz val="12"/>
      <color rgb="FF000000"/>
      <name val="Aptos Narrow"/>
    </font>
    <font>
      <sz val="11"/>
      <color theme="0"/>
      <name val="kpmg bold"/>
    </font>
    <font>
      <b/>
      <sz val="10"/>
      <color theme="0"/>
      <name val="Arial"/>
      <family val="2"/>
    </font>
    <font>
      <b/>
      <sz val="10"/>
      <color theme="0"/>
      <name val="Arial"/>
    </font>
    <font>
      <b/>
      <sz val="8"/>
      <color rgb="FF000000"/>
      <name val="Arial"/>
    </font>
    <font>
      <sz val="10"/>
      <color theme="1"/>
      <name val="Arial Narrow"/>
      <family val="2"/>
    </font>
    <font>
      <b/>
      <sz val="9"/>
      <color theme="1"/>
      <name val="Arial Narrow"/>
      <family val="2"/>
    </font>
    <font>
      <sz val="10"/>
      <color theme="1"/>
      <name val="Arial Narrow"/>
    </font>
    <font>
      <b/>
      <sz val="9"/>
      <color rgb="FF000000"/>
      <name val="Arial Narrow"/>
    </font>
    <font>
      <b/>
      <sz val="10"/>
      <color theme="0"/>
      <name val="Arial Narrow"/>
    </font>
  </fonts>
  <fills count="34">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theme="4" tint="0.59999389629810485"/>
        <bgColor indexed="65"/>
      </patternFill>
    </fill>
    <fill>
      <patternFill patternType="solid">
        <fgColor rgb="FFFFFF00"/>
        <bgColor indexed="64"/>
      </patternFill>
    </fill>
    <fill>
      <patternFill patternType="solid">
        <fgColor theme="4" tint="0.79998168889431442"/>
        <bgColor indexed="64"/>
      </patternFill>
    </fill>
    <fill>
      <patternFill patternType="solid">
        <fgColor rgb="FF92D050"/>
        <bgColor rgb="FFD9D9D9"/>
      </patternFill>
    </fill>
    <fill>
      <patternFill patternType="solid">
        <fgColor rgb="FFC6EFCE"/>
        <bgColor indexed="64"/>
      </patternFill>
    </fill>
    <fill>
      <patternFill patternType="solid">
        <fgColor rgb="FFFAFAFA"/>
        <bgColor indexed="64"/>
      </patternFill>
    </fill>
    <fill>
      <patternFill patternType="solid">
        <fgColor rgb="FFFC8181"/>
        <bgColor indexed="64"/>
      </patternFill>
    </fill>
    <fill>
      <patternFill patternType="solid">
        <fgColor rgb="FFFF0000"/>
        <bgColor indexed="64"/>
      </patternFill>
    </fill>
    <fill>
      <patternFill patternType="solid">
        <fgColor rgb="FFFFCC80"/>
        <bgColor indexed="64"/>
      </patternFill>
    </fill>
    <fill>
      <patternFill patternType="solid">
        <fgColor rgb="FFFFC000"/>
        <bgColor indexed="64"/>
      </patternFill>
    </fill>
    <fill>
      <patternFill patternType="solid">
        <fgColor rgb="FFFFFF9C"/>
        <bgColor indexed="64"/>
      </patternFill>
    </fill>
    <fill>
      <patternFill patternType="solid">
        <fgColor rgb="FFB5DE87"/>
        <bgColor indexed="64"/>
      </patternFill>
    </fill>
    <fill>
      <patternFill patternType="solid">
        <fgColor rgb="FF6ECF00"/>
        <bgColor indexed="64"/>
      </patternFill>
    </fill>
    <fill>
      <patternFill patternType="solid">
        <fgColor rgb="FF7ABF7A"/>
        <bgColor indexed="64"/>
      </patternFill>
    </fill>
    <fill>
      <patternFill patternType="solid">
        <fgColor rgb="FF00B300"/>
        <bgColor indexed="64"/>
      </patternFill>
    </fill>
    <fill>
      <patternFill patternType="solid">
        <fgColor rgb="FFF5F5F5"/>
        <bgColor indexed="64"/>
      </patternFill>
    </fill>
    <fill>
      <patternFill patternType="solid">
        <fgColor theme="4" tint="-0.49998474074526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FF999B"/>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rgb="FFFFE699"/>
        <bgColor indexed="64"/>
      </patternFill>
    </fill>
    <fill>
      <gradientFill>
        <stop position="0">
          <color theme="4"/>
        </stop>
        <stop position="1">
          <color rgb="FF002060"/>
        </stop>
      </gradientFill>
    </fill>
  </fills>
  <borders count="43">
    <border>
      <left/>
      <right/>
      <top/>
      <bottom/>
      <diagonal/>
    </border>
    <border>
      <left/>
      <right style="thin">
        <color indexed="64"/>
      </right>
      <top/>
      <bottom/>
      <diagonal/>
    </border>
    <border>
      <left style="thin">
        <color auto="1"/>
      </left>
      <right style="thin">
        <color auto="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rgb="FFE6E6E6"/>
      </left>
      <right style="thin">
        <color rgb="FFE6E6E6"/>
      </right>
      <top style="thin">
        <color rgb="FFE6E6E6"/>
      </top>
      <bottom style="thin">
        <color rgb="FFE6E6E6"/>
      </bottom>
      <diagonal/>
    </border>
    <border>
      <left/>
      <right style="thin">
        <color rgb="FFE6E6E6"/>
      </right>
      <top style="thin">
        <color rgb="FFE6E6E6"/>
      </top>
      <bottom style="thin">
        <color rgb="FFE6E6E6"/>
      </bottom>
      <diagonal/>
    </border>
    <border>
      <left style="thin">
        <color rgb="FFE6E6E6"/>
      </left>
      <right style="thin">
        <color rgb="FFE6E6E6"/>
      </right>
      <top/>
      <bottom style="thin">
        <color rgb="FFE6E6E6"/>
      </bottom>
      <diagonal/>
    </border>
    <border>
      <left/>
      <right style="thin">
        <color rgb="FFE6E6E6"/>
      </right>
      <top/>
      <bottom style="thin">
        <color rgb="FFE6E6E6"/>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style="thin">
        <color auto="1"/>
      </left>
      <right/>
      <top style="medium">
        <color indexed="64"/>
      </top>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right style="medium">
        <color rgb="FF000000"/>
      </right>
      <top style="thin">
        <color rgb="FF000000"/>
      </top>
      <bottom/>
      <diagonal/>
    </border>
  </borders>
  <cellStyleXfs count="9">
    <xf numFmtId="0" fontId="0" fillId="0" borderId="0"/>
    <xf numFmtId="0" fontId="2" fillId="4" borderId="0"/>
    <xf numFmtId="0" fontId="3" fillId="5" borderId="0"/>
    <xf numFmtId="0" fontId="1" fillId="6" borderId="0"/>
    <xf numFmtId="0" fontId="4" fillId="0" borderId="0"/>
    <xf numFmtId="9" fontId="4" fillId="0" borderId="0"/>
    <xf numFmtId="0" fontId="1" fillId="0" borderId="0"/>
    <xf numFmtId="9" fontId="1" fillId="0" borderId="0"/>
    <xf numFmtId="0" fontId="6" fillId="0" borderId="0"/>
  </cellStyleXfs>
  <cellXfs count="216">
    <xf numFmtId="0" fontId="0" fillId="0" borderId="0" xfId="0"/>
    <xf numFmtId="0" fontId="0" fillId="0" borderId="0" xfId="0" applyAlignment="1">
      <alignment vertical="top"/>
    </xf>
    <xf numFmtId="0" fontId="5" fillId="0" borderId="0" xfId="4" applyFont="1"/>
    <xf numFmtId="0" fontId="5" fillId="0" borderId="0" xfId="4" applyFont="1" applyAlignment="1">
      <alignment horizontal="center" vertical="top"/>
    </xf>
    <xf numFmtId="0" fontId="8" fillId="0" borderId="0" xfId="0" applyFont="1"/>
    <xf numFmtId="0" fontId="11" fillId="0" borderId="0" xfId="4" applyFont="1" applyAlignment="1">
      <alignment horizontal="left" vertical="top"/>
    </xf>
    <xf numFmtId="0" fontId="5" fillId="0" borderId="0" xfId="4" applyFont="1" applyAlignment="1">
      <alignment horizontal="left" vertical="top" wrapText="1"/>
    </xf>
    <xf numFmtId="0" fontId="0" fillId="0" borderId="0" xfId="0" applyAlignment="1">
      <alignment horizontal="center" vertical="center"/>
    </xf>
    <xf numFmtId="0" fontId="16" fillId="0" borderId="0" xfId="0" applyFont="1" applyAlignment="1">
      <alignment vertical="top"/>
    </xf>
    <xf numFmtId="0" fontId="1" fillId="3" borderId="0" xfId="0" applyFont="1" applyFill="1" applyAlignment="1">
      <alignment wrapText="1"/>
    </xf>
    <xf numFmtId="0" fontId="0" fillId="0" borderId="0" xfId="0" applyAlignment="1">
      <alignment horizontal="center"/>
    </xf>
    <xf numFmtId="0" fontId="1" fillId="3" borderId="0" xfId="0" applyFont="1" applyFill="1" applyAlignment="1">
      <alignment vertical="center" wrapText="1"/>
    </xf>
    <xf numFmtId="0" fontId="1" fillId="3" borderId="0" xfId="0" applyFont="1" applyFill="1" applyAlignment="1">
      <alignment horizontal="left" wrapText="1"/>
    </xf>
    <xf numFmtId="0" fontId="1" fillId="3" borderId="0" xfId="0" applyFont="1" applyFill="1" applyAlignment="1">
      <alignment horizontal="left" vertical="center" wrapText="1"/>
    </xf>
    <xf numFmtId="0" fontId="1" fillId="3" borderId="0" xfId="0" applyFont="1" applyFill="1" applyAlignment="1">
      <alignment horizontal="center" vertical="center" wrapText="1"/>
    </xf>
    <xf numFmtId="0" fontId="17" fillId="0" borderId="0" xfId="0" applyFont="1" applyAlignment="1">
      <alignment vertical="top"/>
    </xf>
    <xf numFmtId="0" fontId="17" fillId="3" borderId="0" xfId="0" applyFont="1" applyFill="1" applyAlignment="1">
      <alignment horizontal="center" vertical="top" wrapText="1"/>
    </xf>
    <xf numFmtId="0" fontId="12" fillId="0" borderId="0" xfId="0" applyFont="1"/>
    <xf numFmtId="0" fontId="19" fillId="0" borderId="0" xfId="4" applyFont="1" applyAlignment="1">
      <alignment vertical="top"/>
    </xf>
    <xf numFmtId="0" fontId="15" fillId="0" borderId="0" xfId="0" applyFont="1" applyAlignment="1" applyProtection="1">
      <alignment horizontal="left" vertical="top" wrapText="1"/>
      <protection locked="0"/>
    </xf>
    <xf numFmtId="0" fontId="15" fillId="0" borderId="0" xfId="0" applyFont="1" applyAlignment="1" applyProtection="1">
      <alignment horizontal="center" vertical="top" wrapText="1"/>
      <protection locked="0"/>
    </xf>
    <xf numFmtId="0" fontId="22" fillId="3" borderId="0" xfId="0" applyFont="1" applyFill="1"/>
    <xf numFmtId="0" fontId="23" fillId="3" borderId="1" xfId="0" applyFont="1" applyFill="1" applyBorder="1" applyAlignment="1" applyProtection="1">
      <alignment horizontal="center" vertical="top" wrapText="1"/>
      <protection locked="0"/>
    </xf>
    <xf numFmtId="0" fontId="22" fillId="0" borderId="0" xfId="0" applyFont="1" applyAlignment="1">
      <alignment horizontal="center" vertical="center" wrapText="1"/>
    </xf>
    <xf numFmtId="0" fontId="14" fillId="2" borderId="4" xfId="0" applyFont="1" applyFill="1" applyBorder="1" applyAlignment="1">
      <alignment horizontal="center" vertical="center" wrapText="1"/>
    </xf>
    <xf numFmtId="0" fontId="16" fillId="0" borderId="0" xfId="0" applyFont="1" applyAlignment="1">
      <alignment horizontal="center" vertical="center"/>
    </xf>
    <xf numFmtId="0" fontId="0" fillId="0" borderId="2" xfId="0" applyBorder="1" applyAlignment="1">
      <alignment horizontal="center" vertical="center"/>
    </xf>
    <xf numFmtId="0" fontId="10" fillId="0" borderId="0" xfId="4" applyFont="1" applyAlignment="1">
      <alignment vertical="top"/>
    </xf>
    <xf numFmtId="0" fontId="7" fillId="2" borderId="5"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13" fillId="3" borderId="2" xfId="0" applyFont="1" applyFill="1" applyBorder="1"/>
    <xf numFmtId="49" fontId="13" fillId="3" borderId="2" xfId="0" applyNumberFormat="1" applyFont="1" applyFill="1" applyBorder="1" applyAlignment="1">
      <alignment horizontal="center" vertical="center"/>
    </xf>
    <xf numFmtId="0" fontId="24" fillId="0" borderId="2" xfId="0" applyFont="1" applyBorder="1" applyAlignment="1">
      <alignment horizontal="center" vertical="center"/>
    </xf>
    <xf numFmtId="0" fontId="24" fillId="0" borderId="2" xfId="0" applyFont="1" applyBorder="1" applyAlignment="1">
      <alignment horizontal="center" vertical="center" wrapText="1"/>
    </xf>
    <xf numFmtId="0" fontId="13" fillId="0" borderId="2" xfId="0" applyFont="1" applyBorder="1"/>
    <xf numFmtId="0" fontId="1" fillId="0" borderId="0" xfId="0" applyFont="1" applyAlignment="1">
      <alignment wrapText="1"/>
    </xf>
    <xf numFmtId="0" fontId="13" fillId="0" borderId="2" xfId="0" applyFont="1" applyBorder="1" applyAlignment="1">
      <alignment horizontal="center"/>
    </xf>
    <xf numFmtId="0" fontId="29" fillId="12" borderId="6" xfId="0" applyFont="1" applyFill="1" applyBorder="1" applyAlignment="1">
      <alignment horizontal="center" vertical="center" readingOrder="1"/>
    </xf>
    <xf numFmtId="0" fontId="30" fillId="13" borderId="6" xfId="0" applyFont="1" applyFill="1" applyBorder="1" applyAlignment="1">
      <alignment vertical="center"/>
    </xf>
    <xf numFmtId="0" fontId="31" fillId="0" borderId="6" xfId="0" applyFont="1" applyBorder="1" applyAlignment="1">
      <alignment wrapText="1" readingOrder="1"/>
    </xf>
    <xf numFmtId="0" fontId="29" fillId="14" borderId="6" xfId="0" applyFont="1" applyFill="1" applyBorder="1" applyAlignment="1">
      <alignment horizontal="center" vertical="center" readingOrder="1"/>
    </xf>
    <xf numFmtId="0" fontId="30" fillId="15" borderId="6" xfId="0" applyFont="1" applyFill="1" applyBorder="1" applyAlignment="1">
      <alignment vertical="center"/>
    </xf>
    <xf numFmtId="0" fontId="29" fillId="16" borderId="6" xfId="0" applyFont="1" applyFill="1" applyBorder="1" applyAlignment="1">
      <alignment horizontal="center" vertical="center" readingOrder="1"/>
    </xf>
    <xf numFmtId="0" fontId="30" fillId="7" borderId="6" xfId="0" applyFont="1" applyFill="1" applyBorder="1" applyAlignment="1">
      <alignment vertical="center"/>
    </xf>
    <xf numFmtId="0" fontId="29" fillId="17" borderId="6" xfId="0" applyFont="1" applyFill="1" applyBorder="1" applyAlignment="1">
      <alignment horizontal="center" vertical="center" readingOrder="1"/>
    </xf>
    <xf numFmtId="0" fontId="30" fillId="18" borderId="6" xfId="0" applyFont="1" applyFill="1" applyBorder="1" applyAlignment="1">
      <alignment vertical="center" wrapText="1"/>
    </xf>
    <xf numFmtId="0" fontId="29" fillId="19" borderId="6" xfId="0" applyFont="1" applyFill="1" applyBorder="1" applyAlignment="1">
      <alignment horizontal="center" vertical="center" readingOrder="1"/>
    </xf>
    <xf numFmtId="0" fontId="30" fillId="20" borderId="6" xfId="0" applyFont="1" applyFill="1" applyBorder="1" applyAlignment="1">
      <alignment vertical="center"/>
    </xf>
    <xf numFmtId="0" fontId="32" fillId="0" borderId="0" xfId="0" applyFont="1" applyAlignment="1">
      <alignment readingOrder="1"/>
    </xf>
    <xf numFmtId="0" fontId="32" fillId="0" borderId="0" xfId="0" applyFont="1" applyAlignment="1">
      <alignment wrapText="1" readingOrder="1"/>
    </xf>
    <xf numFmtId="0" fontId="34" fillId="0" borderId="6" xfId="0" applyFont="1" applyBorder="1" applyAlignment="1">
      <alignment wrapText="1" readingOrder="1"/>
    </xf>
    <xf numFmtId="0" fontId="34" fillId="0" borderId="6" xfId="0" applyFont="1" applyBorder="1" applyAlignment="1">
      <alignment vertical="center"/>
    </xf>
    <xf numFmtId="0" fontId="35" fillId="0" borderId="6" xfId="0" applyFont="1" applyBorder="1" applyAlignment="1">
      <alignment vertical="center" wrapText="1"/>
    </xf>
    <xf numFmtId="0" fontId="30" fillId="18" borderId="6" xfId="0" applyFont="1" applyFill="1" applyBorder="1" applyAlignment="1">
      <alignment vertical="center"/>
    </xf>
    <xf numFmtId="0" fontId="0" fillId="0" borderId="0" xfId="0" applyAlignment="1">
      <alignment wrapText="1"/>
    </xf>
    <xf numFmtId="0" fontId="37" fillId="21" borderId="10" xfId="0" applyFont="1" applyFill="1" applyBorder="1" applyAlignment="1">
      <alignment wrapText="1"/>
    </xf>
    <xf numFmtId="0" fontId="37" fillId="21" borderId="11" xfId="0" applyFont="1" applyFill="1" applyBorder="1" applyAlignment="1">
      <alignment wrapText="1"/>
    </xf>
    <xf numFmtId="0" fontId="37" fillId="11" borderId="12" xfId="0" applyFont="1" applyFill="1" applyBorder="1" applyAlignment="1">
      <alignment wrapText="1"/>
    </xf>
    <xf numFmtId="0" fontId="37" fillId="11" borderId="13" xfId="0" applyFont="1" applyFill="1" applyBorder="1" applyAlignment="1">
      <alignment wrapText="1"/>
    </xf>
    <xf numFmtId="0" fontId="15" fillId="0" borderId="0" xfId="0" applyFont="1" applyAlignment="1" applyProtection="1">
      <alignment horizontal="center" vertical="center" wrapText="1"/>
      <protection locked="0"/>
    </xf>
    <xf numFmtId="0" fontId="38" fillId="0" borderId="2" xfId="0" applyFont="1" applyBorder="1" applyAlignment="1">
      <alignment horizontal="left" vertical="top" wrapText="1"/>
    </xf>
    <xf numFmtId="0" fontId="38" fillId="0" borderId="2" xfId="8" applyFont="1" applyBorder="1" applyAlignment="1">
      <alignment horizontal="center" vertical="center" wrapText="1"/>
    </xf>
    <xf numFmtId="0" fontId="38" fillId="0" borderId="2" xfId="0" applyFont="1" applyBorder="1" applyAlignment="1">
      <alignment vertical="top" wrapText="1"/>
    </xf>
    <xf numFmtId="0" fontId="38" fillId="0" borderId="2" xfId="0" applyFont="1" applyBorder="1" applyAlignment="1">
      <alignment horizontal="center" vertical="top" wrapText="1"/>
    </xf>
    <xf numFmtId="0" fontId="38" fillId="0" borderId="2" xfId="0" applyFont="1" applyBorder="1" applyAlignment="1">
      <alignment horizontal="center" vertical="top"/>
    </xf>
    <xf numFmtId="0" fontId="39" fillId="0" borderId="2" xfId="0" applyFont="1" applyBorder="1" applyAlignment="1">
      <alignment vertical="top" wrapText="1"/>
    </xf>
    <xf numFmtId="0" fontId="40" fillId="0" borderId="2" xfId="0" applyFont="1" applyBorder="1" applyAlignment="1">
      <alignment vertical="top" wrapText="1"/>
    </xf>
    <xf numFmtId="0" fontId="38" fillId="3" borderId="2" xfId="0" applyFont="1" applyFill="1" applyBorder="1" applyAlignment="1">
      <alignment horizontal="center" vertical="top" wrapText="1"/>
    </xf>
    <xf numFmtId="0" fontId="39" fillId="3" borderId="2" xfId="0" applyFont="1" applyFill="1" applyBorder="1" applyAlignment="1">
      <alignment vertical="top" wrapText="1"/>
    </xf>
    <xf numFmtId="0" fontId="38" fillId="3" borderId="2" xfId="0" applyFont="1" applyFill="1" applyBorder="1" applyAlignment="1">
      <alignment horizontal="left" vertical="top" wrapText="1"/>
    </xf>
    <xf numFmtId="0" fontId="38" fillId="3" borderId="2" xfId="0" applyFont="1" applyFill="1" applyBorder="1" applyAlignment="1">
      <alignment vertical="top" wrapText="1"/>
    </xf>
    <xf numFmtId="0" fontId="41" fillId="3" borderId="0" xfId="0" applyFont="1" applyFill="1" applyAlignment="1">
      <alignment horizontal="center" wrapText="1"/>
    </xf>
    <xf numFmtId="0" fontId="41" fillId="3" borderId="0" xfId="0" applyFont="1" applyFill="1" applyAlignment="1">
      <alignment horizontal="center" vertical="top" wrapText="1"/>
    </xf>
    <xf numFmtId="0" fontId="41" fillId="0" borderId="0" xfId="0" applyFont="1" applyAlignment="1" applyProtection="1">
      <alignment horizontal="center" vertical="top" wrapText="1"/>
      <protection locked="0"/>
    </xf>
    <xf numFmtId="0" fontId="38" fillId="0" borderId="2" xfId="6" applyFont="1" applyBorder="1" applyAlignment="1">
      <alignment horizontal="left" vertical="top" wrapText="1"/>
    </xf>
    <xf numFmtId="0" fontId="39" fillId="0" borderId="2" xfId="0" applyFont="1" applyBorder="1" applyAlignment="1">
      <alignment horizontal="left" vertical="top" wrapText="1"/>
    </xf>
    <xf numFmtId="0" fontId="38" fillId="0" borderId="2" xfId="6" applyFont="1" applyBorder="1" applyAlignment="1">
      <alignment vertical="top" wrapText="1"/>
    </xf>
    <xf numFmtId="0" fontId="45" fillId="0" borderId="20" xfId="4" applyFont="1" applyBorder="1" applyAlignment="1">
      <alignment horizontal="right"/>
    </xf>
    <xf numFmtId="0" fontId="8" fillId="0" borderId="0" xfId="0" applyFont="1" applyAlignment="1">
      <alignment wrapText="1"/>
    </xf>
    <xf numFmtId="0" fontId="53" fillId="12" borderId="6" xfId="0" applyFont="1" applyFill="1" applyBorder="1" applyAlignment="1">
      <alignment horizontal="center" vertical="center" readingOrder="1"/>
    </xf>
    <xf numFmtId="0" fontId="54" fillId="13" borderId="6" xfId="0" applyFont="1" applyFill="1" applyBorder="1" applyAlignment="1">
      <alignment vertical="center"/>
    </xf>
    <xf numFmtId="0" fontId="53" fillId="14" borderId="6" xfId="0" applyFont="1" applyFill="1" applyBorder="1" applyAlignment="1">
      <alignment horizontal="center" vertical="center" readingOrder="1"/>
    </xf>
    <xf numFmtId="0" fontId="54" fillId="15" borderId="6" xfId="0" applyFont="1" applyFill="1" applyBorder="1" applyAlignment="1">
      <alignment vertical="center"/>
    </xf>
    <xf numFmtId="0" fontId="53" fillId="16" borderId="6" xfId="0" applyFont="1" applyFill="1" applyBorder="1" applyAlignment="1">
      <alignment horizontal="center" vertical="center" readingOrder="1"/>
    </xf>
    <xf numFmtId="0" fontId="54" fillId="7" borderId="6" xfId="0" applyFont="1" applyFill="1" applyBorder="1" applyAlignment="1">
      <alignment vertical="center"/>
    </xf>
    <xf numFmtId="0" fontId="53" fillId="17" borderId="6" xfId="0" applyFont="1" applyFill="1" applyBorder="1" applyAlignment="1">
      <alignment horizontal="center" vertical="center" readingOrder="1"/>
    </xf>
    <xf numFmtId="0" fontId="53" fillId="19" borderId="6" xfId="0" applyFont="1" applyFill="1" applyBorder="1" applyAlignment="1">
      <alignment horizontal="center" vertical="center" readingOrder="1"/>
    </xf>
    <xf numFmtId="0" fontId="47" fillId="0" borderId="0" xfId="0" applyFont="1" applyAlignment="1">
      <alignment readingOrder="1"/>
    </xf>
    <xf numFmtId="0" fontId="47" fillId="0" borderId="0" xfId="0" applyFont="1" applyAlignment="1">
      <alignment wrapText="1" readingOrder="1"/>
    </xf>
    <xf numFmtId="0" fontId="50" fillId="0" borderId="6" xfId="0" applyFont="1" applyBorder="1" applyAlignment="1">
      <alignment vertical="center" wrapText="1"/>
    </xf>
    <xf numFmtId="0" fontId="54" fillId="18" borderId="6" xfId="0" applyFont="1" applyFill="1" applyBorder="1" applyAlignment="1">
      <alignment vertical="center"/>
    </xf>
    <xf numFmtId="0" fontId="50" fillId="0" borderId="6" xfId="0" applyFont="1" applyBorder="1" applyAlignment="1">
      <alignment horizontal="left" vertical="center" wrapText="1" readingOrder="1"/>
    </xf>
    <xf numFmtId="0" fontId="0" fillId="3" borderId="0" xfId="0" applyFill="1" applyAlignment="1">
      <alignment horizontal="left" wrapText="1"/>
    </xf>
    <xf numFmtId="0" fontId="9" fillId="26" borderId="22" xfId="0" applyFont="1" applyFill="1" applyBorder="1" applyAlignment="1">
      <alignment vertical="center"/>
    </xf>
    <xf numFmtId="9" fontId="21" fillId="8" borderId="23" xfId="7" applyFont="1" applyFill="1" applyBorder="1" applyAlignment="1">
      <alignment horizontal="center"/>
    </xf>
    <xf numFmtId="10" fontId="56" fillId="8" borderId="23" xfId="7" applyNumberFormat="1" applyFont="1" applyFill="1" applyBorder="1" applyAlignment="1">
      <alignment horizontal="center"/>
    </xf>
    <xf numFmtId="9" fontId="56" fillId="8" borderId="23" xfId="7" applyFont="1" applyFill="1" applyBorder="1" applyAlignment="1">
      <alignment horizontal="center"/>
    </xf>
    <xf numFmtId="0" fontId="21" fillId="0" borderId="14" xfId="0" applyFont="1" applyBorder="1" applyAlignment="1">
      <alignment horizontal="center"/>
    </xf>
    <xf numFmtId="0" fontId="56" fillId="0" borderId="14" xfId="0" applyFont="1" applyBorder="1" applyAlignment="1">
      <alignment horizontal="center"/>
    </xf>
    <xf numFmtId="1" fontId="21" fillId="0" borderId="14" xfId="7" applyNumberFormat="1" applyFont="1" applyBorder="1" applyAlignment="1">
      <alignment horizontal="center" wrapText="1"/>
    </xf>
    <xf numFmtId="0" fontId="60" fillId="0" borderId="14" xfId="0" applyFont="1" applyBorder="1" applyAlignment="1">
      <alignment horizontal="center"/>
    </xf>
    <xf numFmtId="0" fontId="55" fillId="0" borderId="0" xfId="0" applyFont="1"/>
    <xf numFmtId="0" fontId="65" fillId="10" borderId="19" xfId="2" applyFont="1" applyFill="1" applyBorder="1" applyAlignment="1">
      <alignment horizontal="center" vertical="center" wrapText="1"/>
    </xf>
    <xf numFmtId="0" fontId="65" fillId="26" borderId="19" xfId="1" applyFont="1" applyFill="1" applyBorder="1" applyAlignment="1">
      <alignment horizontal="center" vertical="center"/>
    </xf>
    <xf numFmtId="0" fontId="63" fillId="29" borderId="19" xfId="2" applyFont="1" applyFill="1" applyBorder="1" applyAlignment="1">
      <alignment horizontal="center" vertical="center" wrapText="1"/>
    </xf>
    <xf numFmtId="0" fontId="65" fillId="23" borderId="19" xfId="4" applyFont="1" applyFill="1" applyBorder="1" applyAlignment="1">
      <alignment horizontal="center" vertical="center"/>
    </xf>
    <xf numFmtId="0" fontId="66" fillId="2" borderId="3" xfId="0" applyFont="1" applyFill="1" applyBorder="1" applyAlignment="1">
      <alignment horizontal="center" vertical="center" wrapText="1"/>
    </xf>
    <xf numFmtId="0" fontId="16" fillId="3" borderId="0" xfId="0" applyFont="1" applyFill="1" applyAlignment="1">
      <alignment horizontal="left" wrapText="1"/>
    </xf>
    <xf numFmtId="0" fontId="25" fillId="2" borderId="4" xfId="0" applyFont="1" applyFill="1" applyBorder="1" applyAlignment="1">
      <alignment horizontal="center" vertical="center" wrapText="1"/>
    </xf>
    <xf numFmtId="0" fontId="16" fillId="0" borderId="0" xfId="0" applyFont="1"/>
    <xf numFmtId="0" fontId="61" fillId="0" borderId="0" xfId="4" applyFont="1"/>
    <xf numFmtId="1" fontId="50" fillId="30" borderId="14" xfId="4" applyNumberFormat="1" applyFont="1" applyFill="1" applyBorder="1" applyAlignment="1">
      <alignment horizontal="center" vertical="center" wrapText="1"/>
    </xf>
    <xf numFmtId="1" fontId="50" fillId="24" borderId="14" xfId="4" applyNumberFormat="1" applyFont="1" applyFill="1" applyBorder="1" applyAlignment="1">
      <alignment horizontal="center" vertical="center" wrapText="1"/>
    </xf>
    <xf numFmtId="1" fontId="50" fillId="31" borderId="14" xfId="4" applyNumberFormat="1" applyFont="1" applyFill="1" applyBorder="1" applyAlignment="1">
      <alignment horizontal="center" vertical="center" wrapText="1"/>
    </xf>
    <xf numFmtId="1" fontId="50" fillId="28" borderId="14" xfId="4" applyNumberFormat="1"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49" fillId="0" borderId="2" xfId="6" applyFont="1" applyBorder="1" applyAlignment="1">
      <alignment horizontal="center" vertical="top" wrapText="1"/>
    </xf>
    <xf numFmtId="0" fontId="67" fillId="0" borderId="2" xfId="6" applyFont="1" applyBorder="1" applyAlignment="1">
      <alignment horizontal="center" vertical="center" wrapText="1"/>
    </xf>
    <xf numFmtId="0" fontId="26" fillId="0" borderId="2" xfId="0" applyFont="1" applyBorder="1" applyAlignment="1">
      <alignment horizontal="center" vertical="center" wrapText="1"/>
    </xf>
    <xf numFmtId="49" fontId="13" fillId="0" borderId="2" xfId="0" applyNumberFormat="1" applyFont="1" applyBorder="1" applyAlignment="1">
      <alignment horizontal="center" vertical="center"/>
    </xf>
    <xf numFmtId="0" fontId="24" fillId="0" borderId="2" xfId="0" applyFont="1" applyBorder="1" applyAlignment="1">
      <alignment vertical="center" wrapText="1"/>
    </xf>
    <xf numFmtId="49" fontId="13" fillId="0" borderId="2" xfId="0" applyNumberFormat="1" applyFont="1" applyBorder="1" applyAlignment="1">
      <alignment vertical="center"/>
    </xf>
    <xf numFmtId="0" fontId="49" fillId="0" borderId="0" xfId="6" applyFont="1" applyAlignment="1">
      <alignment horizontal="center" vertical="top" wrapText="1"/>
    </xf>
    <xf numFmtId="0" fontId="54" fillId="7" borderId="6" xfId="0" applyFont="1" applyFill="1" applyBorder="1" applyAlignment="1">
      <alignment vertical="center" wrapText="1"/>
    </xf>
    <xf numFmtId="0" fontId="54" fillId="15" borderId="6" xfId="0" applyFont="1" applyFill="1" applyBorder="1" applyAlignment="1">
      <alignment vertical="center" wrapText="1"/>
    </xf>
    <xf numFmtId="0" fontId="53" fillId="32" borderId="6" xfId="0" applyFont="1" applyFill="1" applyBorder="1" applyAlignment="1">
      <alignment horizontal="center" vertical="center" readingOrder="1"/>
    </xf>
    <xf numFmtId="0" fontId="39" fillId="0" borderId="2" xfId="6" applyFont="1" applyBorder="1" applyAlignment="1">
      <alignment horizontal="left" vertical="top" wrapText="1"/>
    </xf>
    <xf numFmtId="0" fontId="39" fillId="0" borderId="2" xfId="6" applyFont="1" applyBorder="1" applyAlignment="1">
      <alignment vertical="top" wrapText="1"/>
    </xf>
    <xf numFmtId="0" fontId="39" fillId="0" borderId="0" xfId="0" applyFont="1" applyAlignment="1">
      <alignment vertical="top" wrapText="1"/>
    </xf>
    <xf numFmtId="0" fontId="54" fillId="20" borderId="6" xfId="0" applyFont="1" applyFill="1" applyBorder="1" applyAlignment="1">
      <alignment vertical="center" wrapText="1"/>
    </xf>
    <xf numFmtId="0" fontId="38" fillId="0" borderId="2" xfId="0" applyFont="1" applyBorder="1" applyAlignment="1">
      <alignment horizontal="center" vertical="center"/>
    </xf>
    <xf numFmtId="165" fontId="21" fillId="9" borderId="14" xfId="0" applyNumberFormat="1" applyFont="1" applyFill="1" applyBorder="1" applyAlignment="1">
      <alignment horizontal="center" vertical="center"/>
    </xf>
    <xf numFmtId="0" fontId="42" fillId="22" borderId="28" xfId="4" applyFont="1" applyFill="1" applyBorder="1" applyAlignment="1">
      <alignment horizontal="center" vertical="center" wrapText="1"/>
    </xf>
    <xf numFmtId="165" fontId="21" fillId="9" borderId="15" xfId="0" applyNumberFormat="1" applyFont="1" applyFill="1" applyBorder="1" applyAlignment="1">
      <alignment horizontal="center" vertical="center"/>
    </xf>
    <xf numFmtId="0" fontId="43" fillId="22" borderId="0" xfId="4" applyFont="1" applyFill="1" applyAlignment="1">
      <alignment horizontal="center" vertical="center"/>
    </xf>
    <xf numFmtId="0" fontId="47" fillId="8" borderId="18" xfId="0" applyFont="1" applyFill="1" applyBorder="1" applyAlignment="1">
      <alignment vertical="center" wrapText="1"/>
    </xf>
    <xf numFmtId="0" fontId="47" fillId="8" borderId="17" xfId="0" applyFont="1" applyFill="1" applyBorder="1" applyAlignment="1">
      <alignment vertical="center" wrapText="1"/>
    </xf>
    <xf numFmtId="0" fontId="69" fillId="22" borderId="29" xfId="0" applyFont="1" applyFill="1" applyBorder="1" applyAlignment="1">
      <alignment horizontal="center" vertical="center"/>
    </xf>
    <xf numFmtId="1" fontId="50" fillId="25" borderId="16" xfId="4" applyNumberFormat="1" applyFont="1" applyFill="1" applyBorder="1" applyAlignment="1">
      <alignment horizontal="left" vertical="center" wrapText="1"/>
    </xf>
    <xf numFmtId="1" fontId="50" fillId="25" borderId="30" xfId="4" applyNumberFormat="1" applyFont="1" applyFill="1" applyBorder="1" applyAlignment="1">
      <alignment horizontal="left" vertical="center" wrapText="1"/>
    </xf>
    <xf numFmtId="0" fontId="33" fillId="0" borderId="7" xfId="0" applyFont="1" applyBorder="1" applyAlignment="1">
      <alignment horizontal="left" vertical="center" wrapText="1" readingOrder="1"/>
    </xf>
    <xf numFmtId="0" fontId="28" fillId="0" borderId="8" xfId="0" applyFont="1" applyBorder="1" applyAlignment="1">
      <alignment horizontal="left" vertical="center" wrapText="1" readingOrder="1"/>
    </xf>
    <xf numFmtId="0" fontId="28" fillId="0" borderId="9" xfId="0" applyFont="1" applyBorder="1" applyAlignment="1">
      <alignment horizontal="left" vertical="center" wrapText="1" readingOrder="1"/>
    </xf>
    <xf numFmtId="0" fontId="73" fillId="8" borderId="21" xfId="0" applyFont="1" applyFill="1" applyBorder="1" applyAlignment="1">
      <alignment horizontal="left" vertical="center" indent="1"/>
    </xf>
    <xf numFmtId="0" fontId="0" fillId="3" borderId="0" xfId="0" applyFill="1" applyAlignment="1">
      <alignment horizontal="center" vertical="center" wrapText="1"/>
    </xf>
    <xf numFmtId="0" fontId="69" fillId="22" borderId="19" xfId="0" applyFont="1" applyFill="1" applyBorder="1" applyAlignment="1">
      <alignment horizontal="center" vertical="center"/>
    </xf>
    <xf numFmtId="0" fontId="48" fillId="22" borderId="22" xfId="4" applyFont="1" applyFill="1" applyBorder="1" applyAlignment="1">
      <alignment horizontal="center" vertical="center" wrapText="1"/>
    </xf>
    <xf numFmtId="165" fontId="5" fillId="10" borderId="23" xfId="4" applyNumberFormat="1" applyFont="1" applyFill="1" applyBorder="1" applyAlignment="1">
      <alignment horizontal="center" vertical="center"/>
    </xf>
    <xf numFmtId="1" fontId="50" fillId="25" borderId="23" xfId="4" applyNumberFormat="1" applyFont="1" applyFill="1" applyBorder="1" applyAlignment="1">
      <alignment horizontal="left" vertical="center" wrapText="1"/>
    </xf>
    <xf numFmtId="1" fontId="50" fillId="25" borderId="27" xfId="4" applyNumberFormat="1" applyFont="1" applyFill="1" applyBorder="1" applyAlignment="1">
      <alignment horizontal="left" vertical="center" wrapText="1"/>
    </xf>
    <xf numFmtId="0" fontId="75" fillId="8" borderId="22" xfId="0" applyFont="1" applyFill="1" applyBorder="1" applyAlignment="1">
      <alignment horizontal="left" vertical="center" indent="1"/>
    </xf>
    <xf numFmtId="0" fontId="60" fillId="0" borderId="23" xfId="0" applyFont="1" applyBorder="1" applyAlignment="1">
      <alignment horizontal="center"/>
    </xf>
    <xf numFmtId="0" fontId="21" fillId="0" borderId="23" xfId="0" applyFont="1" applyBorder="1" applyAlignment="1">
      <alignment horizontal="center"/>
    </xf>
    <xf numFmtId="0" fontId="56" fillId="0" borderId="23" xfId="0" applyFont="1" applyBorder="1" applyAlignment="1">
      <alignment horizontal="center"/>
    </xf>
    <xf numFmtId="1" fontId="21" fillId="0" borderId="23" xfId="7" applyNumberFormat="1" applyFont="1" applyBorder="1" applyAlignment="1">
      <alignment horizontal="center" wrapText="1"/>
    </xf>
    <xf numFmtId="9" fontId="59" fillId="0" borderId="27" xfId="7" applyFont="1" applyBorder="1" applyAlignment="1">
      <alignment horizontal="center"/>
    </xf>
    <xf numFmtId="0" fontId="9" fillId="8" borderId="17" xfId="4" applyFont="1" applyFill="1" applyBorder="1" applyAlignment="1">
      <alignment horizontal="left" vertical="center"/>
    </xf>
    <xf numFmtId="0" fontId="27" fillId="0" borderId="15" xfId="4" applyFont="1" applyBorder="1" applyAlignment="1">
      <alignment horizontal="center" vertical="center"/>
    </xf>
    <xf numFmtId="0" fontId="21" fillId="0" borderId="15" xfId="0" applyFont="1" applyBorder="1" applyAlignment="1">
      <alignment horizontal="center"/>
    </xf>
    <xf numFmtId="0" fontId="56" fillId="0" borderId="15" xfId="0" applyFont="1" applyBorder="1" applyAlignment="1">
      <alignment horizontal="center"/>
    </xf>
    <xf numFmtId="1" fontId="21" fillId="0" borderId="15" xfId="7" applyNumberFormat="1" applyFont="1" applyBorder="1" applyAlignment="1">
      <alignment horizontal="center" wrapText="1"/>
    </xf>
    <xf numFmtId="9" fontId="59" fillId="0" borderId="24" xfId="7" applyFont="1" applyBorder="1" applyAlignment="1">
      <alignment horizontal="center"/>
    </xf>
    <xf numFmtId="0" fontId="62" fillId="8" borderId="36" xfId="4" applyFont="1" applyFill="1" applyBorder="1" applyAlignment="1">
      <alignment horizontal="left" vertical="center"/>
    </xf>
    <xf numFmtId="0" fontId="27" fillId="0" borderId="19" xfId="0" applyFont="1" applyBorder="1" applyAlignment="1">
      <alignment horizontal="center"/>
    </xf>
    <xf numFmtId="0" fontId="73" fillId="8" borderId="22" xfId="0" applyFont="1" applyFill="1" applyBorder="1" applyAlignment="1">
      <alignment horizontal="left" vertical="center" indent="1"/>
    </xf>
    <xf numFmtId="0" fontId="73" fillId="8" borderId="38" xfId="0" applyFont="1" applyFill="1" applyBorder="1" applyAlignment="1">
      <alignment horizontal="left" vertical="center" indent="1"/>
    </xf>
    <xf numFmtId="0" fontId="60" fillId="0" borderId="15" xfId="0" applyFont="1" applyBorder="1" applyAlignment="1">
      <alignment horizontal="center"/>
    </xf>
    <xf numFmtId="0" fontId="76" fillId="0" borderId="19" xfId="0" applyFont="1" applyBorder="1" applyAlignment="1">
      <alignment horizontal="center"/>
    </xf>
    <xf numFmtId="0" fontId="62" fillId="26" borderId="39" xfId="0" applyFont="1" applyFill="1" applyBorder="1" applyAlignment="1">
      <alignment vertical="center"/>
    </xf>
    <xf numFmtId="0" fontId="59" fillId="8" borderId="19" xfId="0" applyFont="1" applyFill="1" applyBorder="1" applyAlignment="1">
      <alignment horizontal="center"/>
    </xf>
    <xf numFmtId="0" fontId="74" fillId="0" borderId="15" xfId="0" applyFont="1" applyBorder="1" applyAlignment="1">
      <alignment horizontal="center"/>
    </xf>
    <xf numFmtId="9" fontId="59" fillId="0" borderId="40" xfId="7" applyFont="1" applyBorder="1" applyAlignment="1">
      <alignment horizontal="center"/>
    </xf>
    <xf numFmtId="0" fontId="74" fillId="0" borderId="30" xfId="0" applyFont="1" applyBorder="1" applyAlignment="1">
      <alignment horizontal="center"/>
    </xf>
    <xf numFmtId="9" fontId="59" fillId="0" borderId="42" xfId="7" applyFont="1" applyBorder="1" applyAlignment="1">
      <alignment horizontal="center"/>
    </xf>
    <xf numFmtId="1" fontId="21" fillId="0" borderId="41" xfId="7" applyNumberFormat="1" applyFont="1" applyBorder="1" applyAlignment="1">
      <alignment horizontal="center" wrapText="1"/>
    </xf>
    <xf numFmtId="0" fontId="58" fillId="0" borderId="33" xfId="4" applyFont="1" applyBorder="1" applyAlignment="1">
      <alignment horizontal="left" vertical="center" wrapText="1"/>
    </xf>
    <xf numFmtId="164" fontId="57" fillId="0" borderId="34" xfId="0" applyNumberFormat="1" applyFont="1" applyBorder="1" applyAlignment="1">
      <alignment horizontal="left" vertical="center" indent="1"/>
    </xf>
    <xf numFmtId="0" fontId="8" fillId="0" borderId="34" xfId="0" applyFont="1" applyBorder="1"/>
    <xf numFmtId="0" fontId="55" fillId="0" borderId="35" xfId="0" applyFont="1" applyBorder="1"/>
    <xf numFmtId="0" fontId="64" fillId="22" borderId="39" xfId="4" applyFont="1" applyFill="1" applyBorder="1" applyAlignment="1">
      <alignment horizontal="center" vertical="center"/>
    </xf>
    <xf numFmtId="0" fontId="64" fillId="22" borderId="28" xfId="3" applyFont="1" applyFill="1" applyBorder="1" applyAlignment="1">
      <alignment horizontal="center" vertical="center"/>
    </xf>
    <xf numFmtId="0" fontId="64" fillId="22" borderId="37" xfId="0" applyFont="1" applyFill="1" applyBorder="1" applyAlignment="1">
      <alignment horizontal="center" vertical="center"/>
    </xf>
    <xf numFmtId="0" fontId="0" fillId="33" borderId="0" xfId="0" applyFill="1" applyAlignment="1">
      <alignment horizontal="center"/>
    </xf>
    <xf numFmtId="0" fontId="70" fillId="33" borderId="0" xfId="0" applyFont="1" applyFill="1" applyAlignment="1">
      <alignment horizontal="left" vertical="center" readingOrder="1"/>
    </xf>
    <xf numFmtId="0" fontId="71" fillId="33" borderId="0" xfId="0" applyFont="1" applyFill="1" applyAlignment="1">
      <alignment horizontal="left" vertical="center" readingOrder="1"/>
    </xf>
    <xf numFmtId="0" fontId="52" fillId="0" borderId="6" xfId="0" applyFont="1" applyBorder="1" applyAlignment="1">
      <alignment horizontal="left" wrapText="1"/>
    </xf>
    <xf numFmtId="0" fontId="46" fillId="0" borderId="6" xfId="0" applyFont="1" applyBorder="1" applyAlignment="1">
      <alignment horizontal="left" vertical="center" wrapText="1"/>
    </xf>
    <xf numFmtId="0" fontId="52" fillId="0" borderId="6" xfId="0" applyFont="1" applyBorder="1" applyAlignment="1">
      <alignment readingOrder="1"/>
    </xf>
    <xf numFmtId="0" fontId="51" fillId="0" borderId="7" xfId="0" applyFont="1" applyBorder="1" applyAlignment="1">
      <alignment horizontal="left" vertical="center" wrapText="1" readingOrder="1"/>
    </xf>
    <xf numFmtId="0" fontId="52" fillId="0" borderId="8" xfId="0" applyFont="1" applyBorder="1" applyAlignment="1">
      <alignment horizontal="left" vertical="center" wrapText="1" readingOrder="1"/>
    </xf>
    <xf numFmtId="0" fontId="52" fillId="0" borderId="9" xfId="0" applyFont="1" applyBorder="1" applyAlignment="1">
      <alignment horizontal="left" vertical="center" wrapText="1" readingOrder="1"/>
    </xf>
    <xf numFmtId="0" fontId="50" fillId="0" borderId="0" xfId="0" applyFont="1" applyAlignment="1">
      <alignment horizontal="left" vertical="center" wrapText="1" readingOrder="1"/>
    </xf>
    <xf numFmtId="0" fontId="47" fillId="0" borderId="0" xfId="0" applyFont="1" applyAlignment="1">
      <alignment horizontal="left" vertical="center" readingOrder="1"/>
    </xf>
    <xf numFmtId="0" fontId="20" fillId="0" borderId="0" xfId="4" applyFont="1" applyAlignment="1">
      <alignment horizontal="center" vertical="top" wrapText="1"/>
    </xf>
    <xf numFmtId="0" fontId="44" fillId="0" borderId="33" xfId="4" applyFont="1" applyBorder="1" applyAlignment="1">
      <alignment horizontal="left"/>
    </xf>
    <xf numFmtId="0" fontId="44" fillId="0" borderId="34" xfId="4" applyFont="1" applyBorder="1" applyAlignment="1">
      <alignment horizontal="left"/>
    </xf>
    <xf numFmtId="0" fontId="10" fillId="0" borderId="34" xfId="4" applyFont="1" applyBorder="1" applyAlignment="1">
      <alignment horizontal="center" vertical="top"/>
    </xf>
    <xf numFmtId="0" fontId="10" fillId="0" borderId="35" xfId="4" applyFont="1" applyBorder="1" applyAlignment="1">
      <alignment horizontal="center" vertical="top"/>
    </xf>
    <xf numFmtId="164" fontId="46" fillId="3" borderId="31" xfId="0" applyNumberFormat="1" applyFont="1" applyFill="1" applyBorder="1" applyAlignment="1">
      <alignment horizontal="left"/>
    </xf>
    <xf numFmtId="164" fontId="46" fillId="3" borderId="32" xfId="0" applyNumberFormat="1" applyFont="1" applyFill="1" applyBorder="1" applyAlignment="1">
      <alignment horizontal="left"/>
    </xf>
    <xf numFmtId="9" fontId="77" fillId="27" borderId="40" xfId="0" applyNumberFormat="1" applyFont="1" applyFill="1" applyBorder="1" applyAlignment="1">
      <alignment horizontal="center" vertical="center"/>
    </xf>
    <xf numFmtId="9" fontId="77" fillId="27" borderId="25" xfId="0" applyNumberFormat="1" applyFont="1" applyFill="1" applyBorder="1" applyAlignment="1">
      <alignment horizontal="center" vertical="center"/>
    </xf>
    <xf numFmtId="164" fontId="57" fillId="0" borderId="34" xfId="0" applyNumberFormat="1" applyFont="1" applyBorder="1" applyAlignment="1">
      <alignment horizontal="left" vertical="center" indent="1"/>
    </xf>
    <xf numFmtId="0" fontId="0" fillId="0" borderId="0" xfId="0" applyAlignment="1">
      <alignment horizontal="center"/>
    </xf>
    <xf numFmtId="0" fontId="0" fillId="0" borderId="0" xfId="0" applyAlignment="1">
      <alignment horizontal="left" wrapText="1"/>
    </xf>
    <xf numFmtId="0" fontId="36" fillId="0" borderId="6" xfId="0" applyFont="1" applyBorder="1" applyAlignment="1">
      <alignment horizontal="left" vertical="center" wrapText="1"/>
    </xf>
    <xf numFmtId="0" fontId="28" fillId="0" borderId="6" xfId="0" applyFont="1" applyBorder="1" applyAlignment="1">
      <alignment readingOrder="1"/>
    </xf>
    <xf numFmtId="0" fontId="28" fillId="0" borderId="7" xfId="0" applyFont="1" applyBorder="1" applyAlignment="1">
      <alignment horizontal="left" readingOrder="1"/>
    </xf>
    <xf numFmtId="0" fontId="28" fillId="0" borderId="8" xfId="0" applyFont="1" applyBorder="1" applyAlignment="1">
      <alignment horizontal="left" readingOrder="1"/>
    </xf>
    <xf numFmtId="0" fontId="28" fillId="0" borderId="9" xfId="0" applyFont="1" applyBorder="1" applyAlignment="1">
      <alignment horizontal="left" readingOrder="1"/>
    </xf>
    <xf numFmtId="0" fontId="33" fillId="0" borderId="7" xfId="0" applyFont="1" applyBorder="1" applyAlignment="1">
      <alignment horizontal="left" vertical="center" wrapText="1" readingOrder="1"/>
    </xf>
    <xf numFmtId="0" fontId="28" fillId="0" borderId="8" xfId="0" applyFont="1" applyBorder="1" applyAlignment="1">
      <alignment horizontal="left" vertical="center" wrapText="1" readingOrder="1"/>
    </xf>
    <xf numFmtId="0" fontId="28" fillId="0" borderId="9" xfId="0" applyFont="1" applyBorder="1" applyAlignment="1">
      <alignment horizontal="left" vertical="center" wrapText="1" readingOrder="1"/>
    </xf>
    <xf numFmtId="0" fontId="28" fillId="0" borderId="6" xfId="0" applyFont="1" applyBorder="1" applyAlignment="1">
      <alignment horizontal="left" vertical="center" wrapText="1"/>
    </xf>
    <xf numFmtId="0" fontId="0" fillId="0" borderId="0" xfId="0" applyAlignment="1">
      <alignment horizontal="left"/>
    </xf>
  </cellXfs>
  <cellStyles count="9">
    <cellStyle name="40% - Accent1" xfId="3" builtinId="31"/>
    <cellStyle name="Good" xfId="1" builtinId="26"/>
    <cellStyle name="Hyperlink 2" xfId="8" xr:uid="{00000000-0005-0000-0000-00000A000000}"/>
    <cellStyle name="Neutral" xfId="2" builtinId="28"/>
    <cellStyle name="Normal" xfId="0" builtinId="0"/>
    <cellStyle name="Normal 2 2" xfId="4" xr:uid="{00000000-0005-0000-0000-000005000000}"/>
    <cellStyle name="Normal 3 2" xfId="6" xr:uid="{00000000-0005-0000-0000-000008000000}"/>
    <cellStyle name="Percent" xfId="7" builtinId="5"/>
    <cellStyle name="Percent 2" xfId="5" xr:uid="{00000000-0005-0000-0000-000006000000}"/>
  </cellStyles>
  <dxfs count="47">
    <dxf>
      <font>
        <strike val="0"/>
        <condense val="0"/>
        <extend val="0"/>
        <outline val="0"/>
        <shadow val="0"/>
        <u val="none"/>
        <vertAlign val="baseline"/>
        <sz val="9"/>
        <color theme="1"/>
        <name val="Arial Narrow"/>
        <family val="2"/>
        <scheme val="none"/>
      </font>
      <numFmt numFmtId="14" formatCode="0.00%"/>
      <alignment horizontal="center"/>
      <border diagonalUp="0" diagonalDown="0">
        <left style="thin">
          <color rgb="FF000000"/>
        </left>
        <right/>
        <top style="thin">
          <color rgb="FF000000"/>
        </top>
        <bottom style="thin">
          <color rgb="FF000000"/>
        </bottom>
        <vertical style="thin">
          <color rgb="FF000000"/>
        </vertical>
        <horizontal style="thin">
          <color rgb="FF000000"/>
        </horizontal>
      </border>
    </dxf>
    <dxf>
      <font>
        <strike val="0"/>
        <condense val="0"/>
        <extend val="0"/>
        <outline val="0"/>
        <shadow val="0"/>
        <u val="none"/>
        <vertAlign val="baseline"/>
        <sz val="9"/>
        <color theme="1"/>
        <name val="Arial Narrow"/>
        <family val="2"/>
        <scheme val="none"/>
      </font>
      <fill>
        <patternFill patternType="solid">
          <fgColor indexed="64"/>
          <bgColor theme="4" tint="0.59999389629810485"/>
        </patternFill>
      </fill>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9"/>
        <name val="Arial Narrow"/>
        <family val="2"/>
        <scheme val="none"/>
      </font>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9"/>
        <color theme="1"/>
        <name val="Arial Narrow"/>
        <family val="2"/>
        <scheme val="none"/>
      </font>
      <fill>
        <patternFill patternType="solid">
          <fgColor rgb="FFFFCC99"/>
          <bgColor rgb="FFFFC7CE"/>
        </patternFill>
      </fill>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9"/>
        <name val="Arial Narrow"/>
        <family val="2"/>
        <scheme val="none"/>
      </font>
      <numFmt numFmtId="0" formatCode="General"/>
      <alignment horizont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condense val="0"/>
        <extend val="0"/>
        <outline val="0"/>
        <shadow val="0"/>
        <u val="none"/>
        <vertAlign val="baseline"/>
        <sz val="11"/>
        <color theme="1"/>
        <name val="Arial Narrow"/>
        <family val="2"/>
        <scheme val="none"/>
      </font>
      <fill>
        <patternFill patternType="solid">
          <fgColor indexed="64"/>
          <bgColor theme="4" tint="0.79998168889431442"/>
        </patternFill>
      </fill>
      <alignment vertical="center"/>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11"/>
        <name val="Arial Narrow"/>
        <family val="2"/>
        <scheme val="none"/>
      </font>
    </dxf>
    <dxf>
      <font>
        <strike val="0"/>
        <outline val="0"/>
        <shadow val="0"/>
        <u val="none"/>
        <vertAlign val="baseline"/>
        <sz val="12"/>
        <name val="Arial Narrow"/>
        <family val="2"/>
        <scheme val="none"/>
      </font>
      <border>
        <left style="thin">
          <color rgb="FF000000"/>
        </left>
        <right style="thin">
          <color rgb="FF000000"/>
        </right>
        <top/>
        <bottom/>
        <vertical style="thin">
          <color rgb="FF000000"/>
        </vertical>
        <horizontal style="thin">
          <color rgb="FF000000"/>
        </horizontal>
      </border>
    </dxf>
    <dxf>
      <font>
        <color rgb="FF006100"/>
      </font>
      <fill>
        <patternFill>
          <bgColor rgb="FFC6EFCE"/>
        </patternFill>
      </fill>
    </dxf>
    <dxf>
      <font>
        <color rgb="FF9C0006"/>
      </font>
      <fill>
        <patternFill>
          <bgColor rgb="FFFFC7CE"/>
        </patternFill>
      </fill>
    </dxf>
    <dxf>
      <fill>
        <patternFill patternType="solid">
          <bgColor theme="2" tint="-9.9978637043366805E-2"/>
        </patternFill>
      </fill>
    </dxf>
    <dxf>
      <font>
        <color rgb="FF9C5700"/>
      </font>
      <fill>
        <patternFill>
          <bgColor rgb="FFFFEB9C"/>
        </patternFill>
      </fill>
    </dxf>
    <dxf>
      <font>
        <color theme="4" tint="-0.499984740745262"/>
      </font>
      <fill>
        <patternFill patternType="solid">
          <bgColor theme="4" tint="0.59999389629810485"/>
        </patternFill>
      </fill>
    </dxf>
    <dxf>
      <font>
        <color theme="4" tint="-0.249977111117893"/>
      </font>
      <fill>
        <patternFill patternType="solid">
          <bgColor theme="4" tint="0.59999389629810485"/>
        </patternFill>
      </fill>
    </dxf>
    <dxf>
      <font>
        <color theme="1"/>
      </font>
      <fill>
        <patternFill patternType="solid">
          <bgColor theme="0" tint="-0.14999847407452621"/>
        </patternFill>
      </fill>
    </dxf>
    <dxf>
      <font>
        <color rgb="FF006100"/>
      </font>
      <fill>
        <patternFill>
          <bgColor rgb="FFC6EFCE"/>
        </patternFill>
      </fill>
    </dxf>
    <dxf>
      <font>
        <color rgb="FF9C0006"/>
      </font>
      <fill>
        <patternFill>
          <bgColor rgb="FFFFC7CE"/>
        </patternFill>
      </fill>
    </dxf>
    <dxf>
      <font>
        <b/>
        <color rgb="FFFF0000"/>
      </font>
    </dxf>
    <dxf>
      <font>
        <strike val="0"/>
        <outline val="0"/>
        <shadow val="0"/>
        <u val="none"/>
        <vertAlign val="baseline"/>
        <sz val="8"/>
        <name val="Arial"/>
        <scheme val="none"/>
      </font>
      <numFmt numFmtId="1" formatCode="0"/>
    </dxf>
    <dxf>
      <font>
        <strike val="0"/>
        <outline val="0"/>
        <shadow val="0"/>
        <u val="none"/>
        <vertAlign val="baseline"/>
        <sz val="11"/>
        <name val="Arial Narrow"/>
        <family val="2"/>
        <scheme val="none"/>
      </font>
      <numFmt numFmtId="1" formatCode="0"/>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trike val="0"/>
        <outline val="0"/>
        <shadow val="0"/>
        <u val="none"/>
        <vertAlign val="baseline"/>
        <sz val="9"/>
        <name val="Arial Narrow"/>
        <family val="2"/>
        <scheme val="none"/>
      </font>
      <numFmt numFmtId="165" formatCode="0.0"/>
      <alignment vertical="center"/>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trike val="0"/>
        <condense val="0"/>
        <extend val="0"/>
        <outline val="0"/>
        <shadow val="0"/>
        <u val="none"/>
        <vertAlign val="baseline"/>
        <sz val="8"/>
        <color theme="1"/>
        <name val="Arial"/>
        <scheme val="none"/>
      </font>
      <fill>
        <patternFill patternType="solid">
          <fgColor indexed="64"/>
          <bgColor theme="4" tint="0.79998168889431442"/>
        </patternFill>
      </fill>
      <alignment vertical="center" wrapText="1"/>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bottom style="thin">
          <color rgb="FF000000"/>
        </bottom>
      </border>
    </dxf>
    <dxf>
      <border>
        <left style="medium">
          <color rgb="FF000000"/>
        </left>
        <right style="medium">
          <color rgb="FF000000"/>
        </right>
        <top style="medium">
          <color rgb="FF000000"/>
        </top>
        <bottom style="medium">
          <color rgb="FF000000"/>
        </bottom>
      </border>
    </dxf>
    <dxf>
      <font>
        <strike val="0"/>
        <outline val="0"/>
        <shadow val="0"/>
        <u val="none"/>
        <vertAlign val="baseline"/>
        <sz val="11"/>
        <name val="Arial Narrow"/>
        <family val="2"/>
        <scheme val="none"/>
      </font>
    </dxf>
    <dxf>
      <font>
        <strike val="0"/>
        <outline val="0"/>
        <shadow val="0"/>
        <u val="none"/>
        <vertAlign val="baseline"/>
        <sz val="11"/>
        <name val="kpmg bold"/>
        <scheme val="none"/>
      </font>
      <fill>
        <patternFill patternType="solid">
          <fgColor indexed="64"/>
          <bgColor theme="4" tint="-0.499984740745262"/>
        </patternFill>
      </fill>
      <border>
        <left style="thin">
          <color rgb="FF000000"/>
        </left>
        <right style="thin">
          <color rgb="FF000000"/>
        </right>
        <top/>
        <bottom/>
        <vertical style="thin">
          <color rgb="FF000000"/>
        </vertical>
        <horizontal style="thin">
          <color rgb="FF000000"/>
        </horizontal>
      </border>
    </dxf>
    <dxf>
      <font>
        <color theme="1"/>
      </font>
      <fill>
        <patternFill patternType="solid">
          <bgColor rgb="FFFFC000"/>
        </patternFill>
      </fill>
    </dxf>
    <dxf>
      <font>
        <color theme="1"/>
      </font>
      <fill>
        <patternFill patternType="solid">
          <bgColor rgb="FFFF0000"/>
        </patternFill>
      </fill>
    </dxf>
    <dxf>
      <font>
        <color theme="1"/>
      </font>
      <fill>
        <patternFill patternType="solid">
          <bgColor rgb="FFFFFF00"/>
        </patternFill>
      </fill>
    </dxf>
    <dxf>
      <font>
        <color theme="1"/>
      </font>
      <fill>
        <patternFill patternType="solid">
          <bgColor rgb="FF92D050"/>
        </patternFill>
      </fill>
    </dxf>
    <dxf>
      <font>
        <color rgb="FF9C0006"/>
      </font>
      <fill>
        <patternFill>
          <bgColor rgb="FFFFC7CE"/>
        </patternFill>
      </fill>
    </dxf>
    <dxf>
      <font>
        <color theme="1"/>
      </font>
      <fill>
        <patternFill patternType="solid">
          <bgColor rgb="FFFF0000"/>
        </patternFill>
      </fill>
    </dxf>
    <dxf>
      <font>
        <color theme="1"/>
      </font>
      <fill>
        <patternFill patternType="solid">
          <bgColor rgb="FFFFC000"/>
        </patternFill>
      </fill>
    </dxf>
    <dxf>
      <font>
        <color theme="1"/>
      </font>
      <fill>
        <patternFill patternType="solid">
          <bgColor rgb="FFFFFF00"/>
        </patternFill>
      </fill>
    </dxf>
    <dxf>
      <font>
        <color theme="1"/>
      </font>
      <fill>
        <patternFill patternType="solid">
          <bgColor rgb="FF92D050"/>
        </patternFill>
      </fill>
    </dxf>
    <dxf>
      <fill>
        <patternFill patternType="solid">
          <bgColor rgb="FFB5DE87"/>
        </patternFill>
      </fill>
    </dxf>
    <dxf>
      <fill>
        <patternFill patternType="solid">
          <bgColor rgb="FFFFFF9C"/>
        </patternFill>
      </fill>
    </dxf>
    <dxf>
      <font>
        <color theme="1"/>
      </font>
      <fill>
        <patternFill patternType="solid">
          <bgColor rgb="FFFFCC80"/>
        </patternFill>
      </fill>
    </dxf>
    <dxf>
      <fill>
        <patternFill patternType="solid">
          <bgColor rgb="FFFF7A7A"/>
        </patternFill>
      </fill>
    </dxf>
    <dxf>
      <fill>
        <patternFill patternType="solid">
          <bgColor rgb="FFFF7A7A"/>
        </patternFill>
      </fill>
    </dxf>
    <dxf>
      <fill>
        <patternFill patternType="solid">
          <bgColor rgb="FFFFCC80"/>
        </patternFill>
      </fill>
    </dxf>
    <dxf>
      <fill>
        <patternFill patternType="solid">
          <bgColor rgb="FFFFFF9C"/>
        </patternFill>
      </fill>
    </dxf>
    <dxf>
      <fill>
        <patternFill>
          <bgColor rgb="FFC6EFCE"/>
        </patternFill>
      </fill>
    </dxf>
  </dxfs>
  <tableStyles count="0" defaultTableStyle="TableStyleMedium2" defaultPivotStyle="PivotStyleLight16"/>
  <colors>
    <mruColors>
      <color rgb="FFFFCC80"/>
      <color rgb="FFB5DE87"/>
      <color rgb="FFFFFF9C"/>
      <color rgb="FFFF7A7A"/>
      <color rgb="FFFFE28A"/>
      <color rgb="FFFACDAA"/>
      <color rgb="FFFAD5AA"/>
      <color rgb="FFFFDCB5"/>
      <color rgb="FFFFE699"/>
      <color rgb="FF6EA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28572</xdr:colOff>
      <xdr:row>0</xdr:row>
      <xdr:rowOff>128412</xdr:rowOff>
    </xdr:from>
    <xdr:to>
      <xdr:col>2</xdr:col>
      <xdr:colOff>915103</xdr:colOff>
      <xdr:row>1</xdr:row>
      <xdr:rowOff>257629</xdr:rowOff>
    </xdr:to>
    <xdr:pic>
      <xdr:nvPicPr>
        <xdr:cNvPr id="14" name="Picture 1">
          <a:extLst>
            <a:ext uri="{FF2B5EF4-FFF2-40B4-BE49-F238E27FC236}">
              <a16:creationId xmlns:a16="http://schemas.microsoft.com/office/drawing/2014/main" id="{D7C1D361-C048-3954-CF5C-8055EE59A41C}"/>
            </a:ext>
            <a:ext uri="{147F2762-F138-4A5C-976F-8EAC2B608ADB}">
              <a16:predDERef xmlns:a16="http://schemas.microsoft.com/office/drawing/2014/main" pred="{FC193828-14C1-3EB1-D413-5DDBDD792623}"/>
            </a:ext>
          </a:extLst>
        </xdr:cNvPr>
        <xdr:cNvPicPr>
          <a:picLocks noChangeAspect="1"/>
        </xdr:cNvPicPr>
      </xdr:nvPicPr>
      <xdr:blipFill>
        <a:blip xmlns:r="http://schemas.openxmlformats.org/officeDocument/2006/relationships" r:embed="rId1"/>
        <a:stretch>
          <a:fillRect/>
        </a:stretch>
      </xdr:blipFill>
      <xdr:spPr>
        <a:xfrm>
          <a:off x="266697" y="128412"/>
          <a:ext cx="1305631" cy="40544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endoza, Rodolfo Jr D" id="{33BEAB93-8626-43E5-8E0D-05912E0C74B8}" userId="S::rdmendoza1@kpmg.com::33c6816f-af4a-454b-8973-674050f9a99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7DE0507-7303-4C5F-9704-BB15888717CE}" name="Table13456" displayName="Table13456" ref="B6:E16" totalsRowShown="0" headerRowDxfId="29" dataDxfId="28" headerRowBorderDxfId="26" tableBorderDxfId="27" totalsRowBorderDxfId="25">
  <autoFilter ref="B6:E16" xr:uid="{00000000-0009-0000-0100-000001000000}"/>
  <tableColumns count="4">
    <tableColumn id="1" xr3:uid="{A80E8156-8074-4796-B9D3-A5A308FFF095}" name="Privacy Domains" dataDxfId="24"/>
    <tableColumn id="2" xr3:uid="{34EFF1E2-4E8B-462E-858D-2FC0BDCB9E0B}" name="Average Rating " dataDxfId="23">
      <calculatedColumnFormula>AVERAGEIF(PRADAR!D4:D27,Table13456[[#This Row],[Privacy Domains]],PRADAR!P4:P27)</calculatedColumnFormula>
    </tableColumn>
    <tableColumn id="3" xr3:uid="{DF28BFC9-FD0B-4DA7-B707-E77D66506ADC}" name="Compliance" dataDxfId="22">
      <calculatedColumnFormula>IF(ROUNDDOWN(C7,0)=1,'Rating Guide'!C$9,IF(ROUNDDOWN(C7,0)=2,'Rating Guide'!C$10,IF(ROUNDDOWN(C7,0)=3,'Rating Guide'!C$11,IF(ROUNDDOWN(C7,0)=4,'Rating Guide'!C$12, ""))))</calculatedColumnFormula>
    </tableColumn>
    <tableColumn id="6" xr3:uid="{C390DC18-3164-40D6-84D1-4D33606095DD}" name="Description" dataDxfId="21">
      <calculatedColumnFormula>IF(ROUNDDOWN(C7,0)=1,'Rating Guide'!D$9,IF(ROUNDDOWN(C7,0)=2,'Rating Guide'!D$10,IF(ROUNDDOWN(C7,0)=3,'Rating Guide'!D$11,IF(ROUNDDOWN(C7,0)=4,'Rating Guide'!D$12, ""))))</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G18" totalsRowShown="0" headerRowDxfId="10" dataDxfId="9" headerRowBorderDxfId="7" tableBorderDxfId="8" totalsRowBorderDxfId="6">
  <autoFilter ref="B3:G18" xr:uid="{00000000-0009-0000-0100-000001000000}"/>
  <tableColumns count="6">
    <tableColumn id="1" xr3:uid="{00000000-0010-0000-0000-000001000000}" name="Privacy Domains" dataDxfId="5"/>
    <tableColumn id="2" xr3:uid="{00000000-0010-0000-0000-000002000000}" name="Not Applicable" dataDxfId="4">
      <calculatedColumnFormula>COUNTIFS(#REF!,"Manage Privacy Ecosystem",#REF!,"Not Applicable")</calculatedColumnFormula>
    </tableColumn>
    <tableColumn id="5" xr3:uid="{59F9C52D-105F-4E8D-B499-92CBBF52D7E6}" name="Pending" dataDxfId="3"/>
    <tableColumn id="6" xr3:uid="{00000000-0010-0000-0000-000006000000}" name="Provided" dataDxfId="2"/>
    <tableColumn id="8" xr3:uid="{00000000-0010-0000-0000-000008000000}" name="Closed" dataDxfId="1"/>
    <tableColumn id="9" xr3:uid="{00000000-0010-0000-0000-000009000000}" name="Total" dataDxfId="0" dataCellStyle="Percent"/>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3" dT="2025-11-08T17:52:42.47" personId="{33BEAB93-8626-43E5-8E0D-05912E0C74B8}" id="{E5C895C1-C535-43BC-A95A-D56320542109}" done="1">
    <text>Update the Rating Guide based on the Minimum Requirement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B24F-0B98-4747-AF3B-990B007B7E47}">
  <dimension ref="A1:E19"/>
  <sheetViews>
    <sheetView tabSelected="1" zoomScale="90" zoomScaleNormal="90" workbookViewId="0">
      <selection activeCell="B5" sqref="B5:D5"/>
    </sheetView>
  </sheetViews>
  <sheetFormatPr defaultRowHeight="14.45"/>
  <cols>
    <col min="1" max="1" width="3.5703125" customWidth="1"/>
    <col min="2" max="2" width="6.28515625" customWidth="1"/>
    <col min="3" max="3" width="21.7109375" customWidth="1"/>
    <col min="4" max="4" width="91.28515625" customWidth="1"/>
    <col min="5" max="5" width="3.28515625" customWidth="1"/>
  </cols>
  <sheetData>
    <row r="1" spans="1:5" ht="21.75" customHeight="1">
      <c r="A1" s="183"/>
      <c r="B1" s="183"/>
      <c r="C1" s="183"/>
      <c r="D1" s="183"/>
      <c r="E1" s="183"/>
    </row>
    <row r="2" spans="1:5" ht="21.75" customHeight="1">
      <c r="A2" s="183"/>
      <c r="B2" s="183"/>
      <c r="C2" s="183"/>
      <c r="D2" s="183"/>
      <c r="E2" s="183"/>
    </row>
    <row r="3" spans="1:5" ht="21.75" customHeight="1">
      <c r="A3" s="184" t="s">
        <v>0</v>
      </c>
      <c r="B3" s="185"/>
      <c r="C3" s="185"/>
      <c r="D3" s="185"/>
      <c r="E3" s="185"/>
    </row>
    <row r="4" spans="1:5">
      <c r="B4" s="87"/>
      <c r="C4" s="87"/>
      <c r="D4" s="88"/>
    </row>
    <row r="5" spans="1:5" ht="75" customHeight="1">
      <c r="B5" s="192" t="s">
        <v>1</v>
      </c>
      <c r="C5" s="193"/>
      <c r="D5" s="193"/>
    </row>
    <row r="6" spans="1:5">
      <c r="B6" s="87"/>
      <c r="C6" s="87"/>
      <c r="D6" s="88"/>
    </row>
    <row r="7" spans="1:5" ht="18">
      <c r="B7" s="188" t="s">
        <v>2</v>
      </c>
      <c r="C7" s="188"/>
      <c r="D7" s="188"/>
    </row>
    <row r="8" spans="1:5" ht="18">
      <c r="B8" s="189" t="s">
        <v>3</v>
      </c>
      <c r="C8" s="190"/>
      <c r="D8" s="191"/>
    </row>
    <row r="9" spans="1:5">
      <c r="B9" s="79">
        <v>1</v>
      </c>
      <c r="C9" s="80" t="s">
        <v>4</v>
      </c>
      <c r="D9" s="91" t="s">
        <v>5</v>
      </c>
    </row>
    <row r="10" spans="1:5">
      <c r="B10" s="126">
        <v>2</v>
      </c>
      <c r="C10" s="125" t="s">
        <v>6</v>
      </c>
      <c r="D10" s="91" t="s">
        <v>7</v>
      </c>
    </row>
    <row r="11" spans="1:5">
      <c r="B11" s="83">
        <v>3</v>
      </c>
      <c r="C11" s="124" t="s">
        <v>8</v>
      </c>
      <c r="D11" s="91" t="s">
        <v>9</v>
      </c>
    </row>
    <row r="12" spans="1:5">
      <c r="B12" s="86">
        <v>4</v>
      </c>
      <c r="C12" s="130" t="s">
        <v>10</v>
      </c>
      <c r="D12" s="91" t="s">
        <v>11</v>
      </c>
    </row>
    <row r="13" spans="1:5" ht="21.75" customHeight="1"/>
    <row r="14" spans="1:5" ht="18">
      <c r="B14" s="186" t="s">
        <v>12</v>
      </c>
      <c r="C14" s="186"/>
      <c r="D14" s="186"/>
    </row>
    <row r="15" spans="1:5" ht="30" customHeight="1">
      <c r="B15" s="187" t="s">
        <v>13</v>
      </c>
      <c r="C15" s="187"/>
      <c r="D15" s="187"/>
    </row>
    <row r="16" spans="1:5" ht="24" customHeight="1">
      <c r="B16" s="79">
        <v>1</v>
      </c>
      <c r="C16" s="80" t="s">
        <v>14</v>
      </c>
      <c r="D16" s="89" t="s">
        <v>15</v>
      </c>
    </row>
    <row r="17" spans="2:4" ht="29.25" customHeight="1">
      <c r="B17" s="81">
        <v>2</v>
      </c>
      <c r="C17" s="82" t="s">
        <v>16</v>
      </c>
      <c r="D17" s="89" t="s">
        <v>17</v>
      </c>
    </row>
    <row r="18" spans="2:4" ht="27.75" customHeight="1">
      <c r="B18" s="83">
        <v>3</v>
      </c>
      <c r="C18" s="84" t="s">
        <v>18</v>
      </c>
      <c r="D18" s="89" t="s">
        <v>19</v>
      </c>
    </row>
    <row r="19" spans="2:4" ht="30" customHeight="1">
      <c r="B19" s="85">
        <v>4</v>
      </c>
      <c r="C19" s="90" t="s">
        <v>20</v>
      </c>
      <c r="D19" s="89" t="s">
        <v>21</v>
      </c>
    </row>
  </sheetData>
  <mergeCells count="8">
    <mergeCell ref="A1:E1"/>
    <mergeCell ref="A2:E2"/>
    <mergeCell ref="A3:E3"/>
    <mergeCell ref="B14:D14"/>
    <mergeCell ref="B15:D15"/>
    <mergeCell ref="B7:D7"/>
    <mergeCell ref="B8:D8"/>
    <mergeCell ref="B5:D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3AF3-0544-4132-9486-A030D4569208}">
  <dimension ref="A1:S17"/>
  <sheetViews>
    <sheetView zoomScale="84" zoomScaleNormal="84" workbookViewId="0">
      <selection activeCell="F7" sqref="F7"/>
    </sheetView>
  </sheetViews>
  <sheetFormatPr defaultRowHeight="15" customHeight="1"/>
  <cols>
    <col min="1" max="1" width="3.42578125" customWidth="1"/>
    <col min="2" max="2" width="33.5703125" customWidth="1"/>
    <col min="3" max="3" width="7.28515625" customWidth="1"/>
    <col min="4" max="4" width="19.5703125" customWidth="1"/>
    <col min="5" max="5" width="49.42578125" customWidth="1"/>
    <col min="6" max="9" width="29.7109375" customWidth="1"/>
    <col min="10" max="10" width="49.7109375" customWidth="1"/>
    <col min="11" max="11" width="51" customWidth="1"/>
    <col min="12" max="12" width="53.5703125" customWidth="1"/>
    <col min="13" max="13" width="52.5703125" customWidth="1"/>
    <col min="14" max="17" width="17.28515625" customWidth="1"/>
    <col min="18" max="18" width="21.7109375" customWidth="1"/>
  </cols>
  <sheetData>
    <row r="1" spans="1:19" s="4" customFormat="1" ht="17.25" customHeight="1">
      <c r="A1" s="2"/>
      <c r="B1" s="5"/>
      <c r="C1" s="5"/>
      <c r="D1" s="5"/>
      <c r="E1" s="5"/>
      <c r="F1" s="5"/>
      <c r="G1" s="5"/>
      <c r="H1" s="5"/>
      <c r="I1" s="5"/>
      <c r="J1" s="194"/>
      <c r="K1" s="194"/>
      <c r="L1" s="194"/>
      <c r="M1" s="6"/>
      <c r="N1" s="6"/>
      <c r="O1" s="6"/>
      <c r="P1" s="6"/>
      <c r="Q1" s="2"/>
      <c r="R1" s="2"/>
      <c r="S1" s="2"/>
    </row>
    <row r="2" spans="1:19" s="4" customFormat="1" ht="16.5">
      <c r="A2" s="2"/>
      <c r="B2" s="77" t="s">
        <v>22</v>
      </c>
      <c r="C2" s="199">
        <f ca="1">TODAY()</f>
        <v>45985</v>
      </c>
      <c r="D2" s="199"/>
      <c r="E2" s="200"/>
      <c r="L2" s="2"/>
      <c r="M2" s="2"/>
      <c r="N2" s="2"/>
    </row>
    <row r="3" spans="1:19" s="4" customFormat="1" ht="47.25" customHeight="1">
      <c r="A3" s="2"/>
      <c r="B3" s="147" t="s">
        <v>23</v>
      </c>
      <c r="C3" s="148" t="e">
        <f>AVERAGE(Table13456[[Average Rating ]])</f>
        <v>#DIV/0!</v>
      </c>
      <c r="D3" s="149" t="e">
        <f>IF(ROUNDDOWN(C3,0)=1,'Rating Guide'!C$16,IF(ROUNDDOWN(C3,0)=2,'Rating Guide'!C$17,IF(ROUNDDOWN(C3,0)=3,'Rating Guide'!C$18,IF(ROUNDDOWN(C3,0)=4,'Rating Guide'!C$19, ""))))</f>
        <v>#DIV/0!</v>
      </c>
      <c r="E3" s="150" t="e">
        <f>IF(ROUNDDOWN(C3,0)=1,'Rating Guide'!D$16,IF(ROUNDDOWN(C3,0)=2,'Rating Guide'!D$17,IF(ROUNDDOWN(C3,0)=3,'Rating Guide'!D$18,IF(ROUNDDOWN(C3,0)=4,'Rating Guide'!D$19, ""))))</f>
        <v>#DIV/0!</v>
      </c>
      <c r="F3" s="78"/>
      <c r="G3" s="78"/>
      <c r="H3" s="78"/>
      <c r="I3" s="78"/>
      <c r="J3" s="111" t="s">
        <v>24</v>
      </c>
      <c r="K3" s="112" t="s">
        <v>25</v>
      </c>
      <c r="L3" s="113" t="s">
        <v>26</v>
      </c>
      <c r="M3" s="114" t="s">
        <v>27</v>
      </c>
    </row>
    <row r="4" spans="1:19" s="4" customFormat="1" ht="17.25" customHeight="1">
      <c r="A4" s="2"/>
      <c r="B4" s="2"/>
      <c r="C4" s="2"/>
      <c r="D4" s="2"/>
      <c r="E4" s="3"/>
      <c r="F4" s="3"/>
      <c r="G4" s="3"/>
      <c r="H4" s="3"/>
      <c r="I4" s="3"/>
      <c r="J4" s="110"/>
      <c r="K4" s="2"/>
      <c r="L4" s="2"/>
      <c r="M4" s="2"/>
      <c r="N4" s="2"/>
      <c r="O4" s="2"/>
    </row>
    <row r="5" spans="1:19" s="17" customFormat="1" ht="15" customHeight="1">
      <c r="A5" s="18"/>
      <c r="B5" s="195" t="s">
        <v>28</v>
      </c>
      <c r="C5" s="196"/>
      <c r="D5" s="197"/>
      <c r="E5" s="198"/>
      <c r="F5" s="27"/>
      <c r="G5" s="27"/>
      <c r="H5" s="27"/>
      <c r="I5" s="27"/>
      <c r="J5" s="27"/>
    </row>
    <row r="6" spans="1:19" s="4" customFormat="1" ht="24" customHeight="1">
      <c r="B6" s="135" t="s">
        <v>29</v>
      </c>
      <c r="C6" s="133" t="s">
        <v>30</v>
      </c>
      <c r="D6" s="138" t="s">
        <v>31</v>
      </c>
      <c r="E6" s="146" t="s">
        <v>32</v>
      </c>
      <c r="F6" s="101"/>
      <c r="G6" s="101"/>
      <c r="H6" s="101"/>
      <c r="I6" s="101"/>
    </row>
    <row r="7" spans="1:19" s="4" customFormat="1" ht="20.25" customHeight="1">
      <c r="B7" s="136" t="s">
        <v>33</v>
      </c>
      <c r="C7" s="132" t="e">
        <f>AVERAGEIF(PRADAR!D4:D27,Table13456[[#This Row],[Privacy Domains]],PRADAR!P4:P27)</f>
        <v>#DIV/0!</v>
      </c>
      <c r="D7" s="139" t="e">
        <f>IF(ROUNDDOWN(C7,0)=1,'Rating Guide'!C$9,IF(ROUNDDOWN(C7,0)=2,'Rating Guide'!C$10,IF(ROUNDDOWN(C7,0)=3,'Rating Guide'!C$11,IF(ROUNDDOWN(C7,0)=4,'Rating Guide'!C$12, ""))))</f>
        <v>#DIV/0!</v>
      </c>
      <c r="E7" s="139" t="e">
        <f>IF(ROUNDDOWN(C7,0)=1,'Rating Guide'!D$9,IF(ROUNDDOWN(C7,0)=2,'Rating Guide'!D$10,IF(ROUNDDOWN(C7,0)=3,'Rating Guide'!D$11,IF(ROUNDDOWN(C7,0)=4,'Rating Guide'!D$12, ""))))</f>
        <v>#DIV/0!</v>
      </c>
    </row>
    <row r="8" spans="1:19" s="4" customFormat="1" ht="20.25" customHeight="1">
      <c r="B8" s="136" t="s">
        <v>34</v>
      </c>
      <c r="C8" s="132" t="e">
        <f>AVERAGEIF(PRADAR!D5:D27,Table13456[[#This Row],[Privacy Domains]],PRADAR!P5:P27)</f>
        <v>#DIV/0!</v>
      </c>
      <c r="D8" s="139" t="e">
        <f>IF(ROUNDDOWN(C8,0)=1,'Rating Guide'!C$9,IF(ROUNDDOWN(C8,0)=2,'Rating Guide'!C$10,IF(ROUNDDOWN(C8,0)=3,'Rating Guide'!C$11,IF(ROUNDDOWN(C8,0)=4,'Rating Guide'!C$12, ""))))</f>
        <v>#DIV/0!</v>
      </c>
      <c r="E8" s="139" t="e">
        <f>IF(ROUNDDOWN(C8,0)=1,'Rating Guide'!D$9,IF(ROUNDDOWN(C8,0)=2,'Rating Guide'!D$10,IF(ROUNDDOWN(C8,0)=3,'Rating Guide'!D$11,IF(ROUNDDOWN(C8,0)=4,'Rating Guide'!D$12, ""))))</f>
        <v>#DIV/0!</v>
      </c>
    </row>
    <row r="9" spans="1:19" s="4" customFormat="1" ht="20.25" customHeight="1">
      <c r="B9" s="136" t="s">
        <v>35</v>
      </c>
      <c r="C9" s="132" t="e">
        <f>AVERAGEIF(PRADAR!D6:D27,Table13456[[#This Row],[Privacy Domains]],PRADAR!P6:P27)</f>
        <v>#DIV/0!</v>
      </c>
      <c r="D9" s="139" t="e">
        <f>IF(ROUNDDOWN(C9,0)=1,'Rating Guide'!C$9,IF(ROUNDDOWN(C9,0)=2,'Rating Guide'!C$10,IF(ROUNDDOWN(C9,0)=3,'Rating Guide'!C$11,IF(ROUNDDOWN(C9,0)=4,'Rating Guide'!C$12, ""))))</f>
        <v>#DIV/0!</v>
      </c>
      <c r="E9" s="139" t="e">
        <f>IF(ROUNDDOWN(C9,0)=1,'Rating Guide'!D$9,IF(ROUNDDOWN(C9,0)=2,'Rating Guide'!D$10,IF(ROUNDDOWN(C9,0)=3,'Rating Guide'!D$11,IF(ROUNDDOWN(C9,0)=4,'Rating Guide'!D$12, ""))))</f>
        <v>#DIV/0!</v>
      </c>
    </row>
    <row r="10" spans="1:19" s="4" customFormat="1" ht="20.25" customHeight="1">
      <c r="B10" s="136" t="s">
        <v>36</v>
      </c>
      <c r="C10" s="132" t="e">
        <f>AVERAGEIF(PRADAR!D7:D27,Table13456[[#This Row],[Privacy Domains]],PRADAR!P7:P27)</f>
        <v>#DIV/0!</v>
      </c>
      <c r="D10" s="139" t="e">
        <f>IF(ROUNDDOWN(C10,0)=1,'Rating Guide'!C$9,IF(ROUNDDOWN(C10,0)=2,'Rating Guide'!C$10,IF(ROUNDDOWN(C10,0)=3,'Rating Guide'!C$11,IF(ROUNDDOWN(C10,0)=4,'Rating Guide'!C$12, ""))))</f>
        <v>#DIV/0!</v>
      </c>
      <c r="E10" s="139" t="e">
        <f>IF(ROUNDDOWN(C10,0)=1,'Rating Guide'!D$9,IF(ROUNDDOWN(C10,0)=2,'Rating Guide'!D$10,IF(ROUNDDOWN(C10,0)=3,'Rating Guide'!D$11,IF(ROUNDDOWN(C10,0)=4,'Rating Guide'!D$12, ""))))</f>
        <v>#DIV/0!</v>
      </c>
    </row>
    <row r="11" spans="1:19" s="4" customFormat="1" ht="20.25" customHeight="1">
      <c r="B11" s="136" t="s">
        <v>37</v>
      </c>
      <c r="C11" s="132" t="e">
        <f>AVERAGEIF(PRADAR!D8:D27,Table13456[[#This Row],[Privacy Domains]],PRADAR!P8:P27)</f>
        <v>#DIV/0!</v>
      </c>
      <c r="D11" s="139" t="e">
        <f>IF(ROUNDDOWN(C11,0)=1,'Rating Guide'!C$9,IF(ROUNDDOWN(C11,0)=2,'Rating Guide'!C$10,IF(ROUNDDOWN(C11,0)=3,'Rating Guide'!C$11,IF(ROUNDDOWN(C11,0)=4,'Rating Guide'!C$12, ""))))</f>
        <v>#DIV/0!</v>
      </c>
      <c r="E11" s="139" t="e">
        <f>IF(ROUNDDOWN(C11,0)=1,'Rating Guide'!D$9,IF(ROUNDDOWN(C11,0)=2,'Rating Guide'!D$10,IF(ROUNDDOWN(C11,0)=3,'Rating Guide'!D$11,IF(ROUNDDOWN(C11,0)=4,'Rating Guide'!D$12, ""))))</f>
        <v>#DIV/0!</v>
      </c>
    </row>
    <row r="12" spans="1:19" s="4" customFormat="1" ht="20.25" customHeight="1">
      <c r="B12" s="136" t="s">
        <v>38</v>
      </c>
      <c r="C12" s="132" t="e">
        <f>AVERAGEIF(PRADAR!D9:D28,Table13456[[#This Row],[Privacy Domains]],PRADAR!P9:P28)</f>
        <v>#DIV/0!</v>
      </c>
      <c r="D12" s="139" t="e">
        <f>IF(ROUNDDOWN(C12,0)=1,'Rating Guide'!C$9,IF(ROUNDDOWN(C12,0)=2,'Rating Guide'!C$10,IF(ROUNDDOWN(C12,0)=3,'Rating Guide'!C$11,IF(ROUNDDOWN(C12,0)=4,'Rating Guide'!C$12, ""))))</f>
        <v>#DIV/0!</v>
      </c>
      <c r="E12" s="139" t="e">
        <f>IF(ROUNDDOWN(C12,0)=1,'Rating Guide'!D$9,IF(ROUNDDOWN(C12,0)=2,'Rating Guide'!D$10,IF(ROUNDDOWN(C12,0)=3,'Rating Guide'!D$11,IF(ROUNDDOWN(C12,0)=4,'Rating Guide'!D$12, ""))))</f>
        <v>#DIV/0!</v>
      </c>
    </row>
    <row r="13" spans="1:19" s="4" customFormat="1" ht="20.25" customHeight="1">
      <c r="B13" s="136" t="s">
        <v>39</v>
      </c>
      <c r="C13" s="132" t="e">
        <f>AVERAGEIF(PRADAR!D10:D29,Table13456[[#This Row],[Privacy Domains]],PRADAR!P10:P29)</f>
        <v>#DIV/0!</v>
      </c>
      <c r="D13" s="139" t="e">
        <f>IF(ROUNDDOWN(C13,0)=1,'Rating Guide'!C$9,IF(ROUNDDOWN(C13,0)=2,'Rating Guide'!C$10,IF(ROUNDDOWN(C13,0)=3,'Rating Guide'!C$11,IF(ROUNDDOWN(C13,0)=4,'Rating Guide'!C$12, ""))))</f>
        <v>#DIV/0!</v>
      </c>
      <c r="E13" s="139" t="e">
        <f>IF(ROUNDDOWN(C13,0)=1,'Rating Guide'!D$9,IF(ROUNDDOWN(C13,0)=2,'Rating Guide'!D$10,IF(ROUNDDOWN(C13,0)=3,'Rating Guide'!D$11,IF(ROUNDDOWN(C13,0)=4,'Rating Guide'!D$12, ""))))</f>
        <v>#DIV/0!</v>
      </c>
    </row>
    <row r="14" spans="1:19" s="4" customFormat="1" ht="20.25" customHeight="1">
      <c r="B14" s="136" t="s">
        <v>40</v>
      </c>
      <c r="C14" s="132" t="e">
        <f>AVERAGEIF(PRADAR!D11:D30,Table13456[[#This Row],[Privacy Domains]],PRADAR!P11:P30)</f>
        <v>#DIV/0!</v>
      </c>
      <c r="D14" s="139" t="e">
        <f>IF(ROUNDDOWN(C14,0)=1,'Rating Guide'!C$9,IF(ROUNDDOWN(C14,0)=2,'Rating Guide'!C$10,IF(ROUNDDOWN(C14,0)=3,'Rating Guide'!C$11,IF(ROUNDDOWN(C14,0)=4,'Rating Guide'!C$12, ""))))</f>
        <v>#DIV/0!</v>
      </c>
      <c r="E14" s="139" t="e">
        <f>IF(ROUNDDOWN(C14,0)=1,'Rating Guide'!D$9,IF(ROUNDDOWN(C14,0)=2,'Rating Guide'!D$10,IF(ROUNDDOWN(C14,0)=3,'Rating Guide'!D$11,IF(ROUNDDOWN(C14,0)=4,'Rating Guide'!D$12, ""))))</f>
        <v>#DIV/0!</v>
      </c>
    </row>
    <row r="15" spans="1:19" s="4" customFormat="1" ht="20.25" customHeight="1">
      <c r="B15" s="136" t="s">
        <v>41</v>
      </c>
      <c r="C15" s="132" t="e">
        <f>AVERAGEIF(PRADAR!D12:D31,Table13456[[#This Row],[Privacy Domains]],PRADAR!P12:P31)</f>
        <v>#DIV/0!</v>
      </c>
      <c r="D15" s="139" t="e">
        <f>IF(ROUNDDOWN(C15,0)=1,'Rating Guide'!C$9,IF(ROUNDDOWN(C15,0)=2,'Rating Guide'!C$10,IF(ROUNDDOWN(C15,0)=3,'Rating Guide'!C$11,IF(ROUNDDOWN(C15,0)=4,'Rating Guide'!C$12, ""))))</f>
        <v>#DIV/0!</v>
      </c>
      <c r="E15" s="139" t="e">
        <f>IF(ROUNDDOWN(C15,0)=1,'Rating Guide'!D$9,IF(ROUNDDOWN(C15,0)=2,'Rating Guide'!D$10,IF(ROUNDDOWN(C15,0)=3,'Rating Guide'!D$11,IF(ROUNDDOWN(C15,0)=4,'Rating Guide'!D$12, ""))))</f>
        <v>#DIV/0!</v>
      </c>
    </row>
    <row r="16" spans="1:19" s="4" customFormat="1" ht="20.25" customHeight="1">
      <c r="B16" s="137" t="s">
        <v>42</v>
      </c>
      <c r="C16" s="134" t="e">
        <f>AVERAGEIF(PRADAR!D13:D32,Table13456[[#This Row],[Privacy Domains]],PRADAR!P13:P32)</f>
        <v>#DIV/0!</v>
      </c>
      <c r="D16" s="140" t="e">
        <f>IF(ROUNDDOWN(C16,0)=1,'Rating Guide'!C$9,IF(ROUNDDOWN(C16,0)=2,'Rating Guide'!C$10,IF(ROUNDDOWN(C16,0)=3,'Rating Guide'!C$11,IF(ROUNDDOWN(C16,0)=4,'Rating Guide'!C$12, ""))))</f>
        <v>#DIV/0!</v>
      </c>
      <c r="E16" s="140" t="e">
        <f>IF(ROUNDDOWN(C16,0)=1,'Rating Guide'!D$9,IF(ROUNDDOWN(C16,0)=2,'Rating Guide'!D$10,IF(ROUNDDOWN(C16,0)=3,'Rating Guide'!D$11,IF(ROUNDDOWN(C16,0)=4,'Rating Guide'!D$12, ""))))</f>
        <v>#DIV/0!</v>
      </c>
    </row>
    <row r="17"/>
  </sheetData>
  <mergeCells count="4">
    <mergeCell ref="J1:L1"/>
    <mergeCell ref="B5:C5"/>
    <mergeCell ref="D5:E5"/>
    <mergeCell ref="C2:E2"/>
  </mergeCells>
  <conditionalFormatting sqref="C3">
    <cfRule type="beginsWith" dxfId="46" priority="21" operator="beginsWith" text="4">
      <formula>LEFT(C3,LEN("4"))="4"</formula>
    </cfRule>
    <cfRule type="beginsWith" dxfId="45" priority="22" operator="beginsWith" text="3">
      <formula>LEFT(C3,LEN("3"))="3"</formula>
    </cfRule>
    <cfRule type="beginsWith" dxfId="44" priority="23" operator="beginsWith" text="2">
      <formula>LEFT(C3,LEN("2"))="2"</formula>
    </cfRule>
    <cfRule type="beginsWith" dxfId="43" priority="24" operator="beginsWith" text="1">
      <formula>LEFT(C3,LEN("1"))="1"</formula>
    </cfRule>
  </conditionalFormatting>
  <conditionalFormatting sqref="C7:C16">
    <cfRule type="beginsWith" dxfId="42" priority="15" operator="beginsWith" text="1">
      <formula>LEFT(C7,LEN("1"))="1"</formula>
    </cfRule>
    <cfRule type="beginsWith" dxfId="41" priority="16" operator="beginsWith" text="2">
      <formula>LEFT(C7,LEN("2"))="2"</formula>
    </cfRule>
    <cfRule type="beginsWith" dxfId="40" priority="17" operator="beginsWith" text="3">
      <formula>LEFT(C7,LEN("3"))="3"</formula>
    </cfRule>
    <cfRule type="beginsWith" dxfId="39" priority="18" operator="beginsWith" text="4">
      <formula>LEFT(C7,LEN("4"))="4"</formula>
    </cfRule>
  </conditionalFormatting>
  <conditionalFormatting sqref="D7:D16">
    <cfRule type="expression" dxfId="38" priority="1">
      <formula>AND(_xlfn.ISFORMULA(D7), LOWER(D7)="compliant")</formula>
    </cfRule>
    <cfRule type="expression" dxfId="37" priority="2">
      <formula>AND(_xlfn.ISFORMULA(D7), LOWER(D7)="substantially compliant")</formula>
    </cfRule>
    <cfRule type="expression" dxfId="36" priority="3">
      <formula>AND(_xlfn.ISFORMULA(D7), LOWER(D7)="partially compliant")</formula>
    </cfRule>
    <cfRule type="expression" dxfId="35" priority="11">
      <formula>AND(_xlfn.ISFORMULA(D7), LOWER(D7)="not compliant")</formula>
    </cfRule>
  </conditionalFormatting>
  <conditionalFormatting sqref="E7:E16">
    <cfRule type="cellIs" dxfId="34" priority="10" operator="equal">
      <formula>$C$3</formula>
    </cfRule>
  </conditionalFormatting>
  <conditionalFormatting sqref="D3">
    <cfRule type="expression" dxfId="33" priority="4">
      <formula>AND(_xlfn.ISFORMULA($D$3), LOWER($D$3)="refining")</formula>
    </cfRule>
    <cfRule type="expression" dxfId="32" priority="5">
      <formula>AND(_xlfn.ISFORMULA($D$3), LOWER($D$3)="developing")</formula>
    </cfRule>
    <cfRule type="expression" dxfId="31" priority="7">
      <formula>AND(_xlfn.ISFORMULA($D$3), LOWER($D$3)="intial")</formula>
    </cfRule>
    <cfRule type="expression" dxfId="30" priority="8">
      <formula>AND(_xlfn.ISFORMULA($D$3), LOWER($D$3)="commencing")</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65E06-3347-4ABE-A4CC-B32D2177B359}">
  <dimension ref="A1:DM811"/>
  <sheetViews>
    <sheetView topLeftCell="E1" zoomScale="86" zoomScaleNormal="86" workbookViewId="0">
      <pane ySplit="3" topLeftCell="G4" activePane="bottomLeft" state="frozen"/>
      <selection pane="bottomLeft" activeCell="I4" sqref="I4:I47"/>
    </sheetView>
  </sheetViews>
  <sheetFormatPr defaultColWidth="9.5703125" defaultRowHeight="21"/>
  <cols>
    <col min="1" max="1" width="5.5703125" style="9" customWidth="1"/>
    <col min="2" max="3" width="15.140625" style="71" customWidth="1"/>
    <col min="4" max="4" width="15.140625" style="72" customWidth="1"/>
    <col min="5" max="5" width="55.85546875" style="12" customWidth="1"/>
    <col min="6" max="6" width="8.85546875" style="107" customWidth="1"/>
    <col min="7" max="7" width="30" style="11" customWidth="1"/>
    <col min="8" max="8" width="25.28515625" style="13" customWidth="1"/>
    <col min="9" max="9" width="16" style="14" customWidth="1"/>
    <col min="10" max="10" width="87.5703125" style="13" customWidth="1"/>
    <col min="11" max="11" width="20.28515625" style="14" customWidth="1"/>
    <col min="12" max="12" width="43.28515625" style="10" customWidth="1"/>
    <col min="13" max="13" width="21.42578125" style="7" customWidth="1"/>
    <col min="14" max="14" width="21.140625" style="10" customWidth="1"/>
    <col min="15" max="15" width="80.140625" style="1" customWidth="1"/>
    <col min="16" max="16" width="47.5703125" style="21" customWidth="1"/>
    <col min="17" max="17" width="50.140625" style="23" customWidth="1"/>
    <col min="18" max="18" width="27.42578125" style="7" bestFit="1" customWidth="1"/>
    <col min="19" max="19" width="27.42578125" style="7" customWidth="1"/>
    <col min="20" max="22" width="50.140625" customWidth="1"/>
    <col min="23" max="23" width="22.42578125" style="7" hidden="1" customWidth="1"/>
    <col min="24" max="116" width="9.5703125" customWidth="1"/>
    <col min="117" max="117" width="9.5703125" style="9" customWidth="1"/>
    <col min="118" max="16384" width="9.5703125" style="9"/>
  </cols>
  <sheetData>
    <row r="1" spans="2:116" ht="0.75" customHeight="1"/>
    <row r="2" spans="2:116" s="8" customFormat="1" ht="23.85" customHeight="1" thickBot="1">
      <c r="B2" s="73"/>
      <c r="C2" s="73"/>
      <c r="D2" s="73"/>
      <c r="E2" s="19"/>
      <c r="F2" s="19"/>
      <c r="G2" s="20"/>
      <c r="H2" s="20"/>
      <c r="I2" s="59"/>
      <c r="J2" s="20"/>
      <c r="K2" s="20"/>
      <c r="L2" s="20"/>
      <c r="M2" s="59"/>
      <c r="N2" s="20"/>
      <c r="O2" s="20"/>
      <c r="P2" s="22"/>
      <c r="Q2" s="23"/>
      <c r="R2" s="25"/>
      <c r="S2" s="25"/>
      <c r="W2" s="25"/>
    </row>
    <row r="3" spans="2:116" s="16" customFormat="1" ht="39.75" customHeight="1">
      <c r="B3" s="106" t="s">
        <v>43</v>
      </c>
      <c r="C3" s="106" t="s">
        <v>44</v>
      </c>
      <c r="D3" s="24" t="s">
        <v>45</v>
      </c>
      <c r="E3" s="24" t="s">
        <v>46</v>
      </c>
      <c r="F3" s="108" t="s">
        <v>47</v>
      </c>
      <c r="G3" s="24" t="s">
        <v>48</v>
      </c>
      <c r="H3" s="24" t="s">
        <v>49</v>
      </c>
      <c r="I3" s="24" t="s">
        <v>50</v>
      </c>
      <c r="J3" s="24" t="s">
        <v>51</v>
      </c>
      <c r="K3" s="115" t="s">
        <v>52</v>
      </c>
      <c r="L3" s="115" t="s">
        <v>53</v>
      </c>
      <c r="M3" s="115" t="s">
        <v>54</v>
      </c>
      <c r="N3" s="115" t="s">
        <v>55</v>
      </c>
      <c r="O3" s="115" t="s">
        <v>56</v>
      </c>
      <c r="P3" s="115" t="s">
        <v>57</v>
      </c>
      <c r="Q3" s="115" t="s">
        <v>58</v>
      </c>
      <c r="R3" s="28" t="s">
        <v>59</v>
      </c>
      <c r="S3" s="116" t="s">
        <v>60</v>
      </c>
      <c r="T3" s="116" t="s">
        <v>61</v>
      </c>
      <c r="U3" s="116" t="s">
        <v>62</v>
      </c>
      <c r="V3" s="116" t="s">
        <v>63</v>
      </c>
      <c r="W3" s="28" t="s">
        <v>64</v>
      </c>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row>
    <row r="4" spans="2:116" s="35" customFormat="1" ht="54" customHeight="1">
      <c r="B4" s="117" t="s">
        <v>65</v>
      </c>
      <c r="C4" s="117" t="s">
        <v>66</v>
      </c>
      <c r="D4" s="117" t="s">
        <v>33</v>
      </c>
      <c r="E4" s="127" t="s">
        <v>67</v>
      </c>
      <c r="F4" s="118">
        <v>1</v>
      </c>
      <c r="G4" s="76" t="s">
        <v>68</v>
      </c>
      <c r="H4" s="60"/>
      <c r="I4" s="61"/>
      <c r="J4" s="62" t="s">
        <v>69</v>
      </c>
      <c r="K4" s="63"/>
      <c r="L4" s="63"/>
      <c r="M4" s="131"/>
      <c r="N4" s="64"/>
      <c r="O4" s="65" t="s">
        <v>70</v>
      </c>
      <c r="P4" s="32"/>
      <c r="Q4" s="119"/>
      <c r="R4" s="120"/>
      <c r="S4" s="120"/>
      <c r="T4" s="34"/>
      <c r="U4" s="34"/>
      <c r="V4" s="34"/>
      <c r="W4" s="26"/>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row>
    <row r="5" spans="2:116" s="35" customFormat="1" ht="51.75" customHeight="1">
      <c r="B5" s="117" t="s">
        <v>65</v>
      </c>
      <c r="C5" s="117" t="s">
        <v>66</v>
      </c>
      <c r="D5" s="117" t="s">
        <v>33</v>
      </c>
      <c r="E5" s="127" t="s">
        <v>71</v>
      </c>
      <c r="F5" s="118">
        <v>2</v>
      </c>
      <c r="G5" s="76" t="s">
        <v>72</v>
      </c>
      <c r="H5" s="60"/>
      <c r="I5" s="61"/>
      <c r="J5" s="62"/>
      <c r="K5" s="63"/>
      <c r="L5" s="63"/>
      <c r="M5" s="131"/>
      <c r="N5" s="64"/>
      <c r="O5" s="75" t="s">
        <v>73</v>
      </c>
      <c r="P5" s="32"/>
      <c r="Q5" s="119"/>
      <c r="R5" s="120"/>
      <c r="S5" s="120"/>
      <c r="T5" s="34"/>
      <c r="U5" s="34"/>
      <c r="V5" s="34"/>
      <c r="W5" s="26"/>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row>
    <row r="6" spans="2:116" s="35" customFormat="1" ht="353.25">
      <c r="B6" s="117" t="s">
        <v>65</v>
      </c>
      <c r="C6" s="117" t="s">
        <v>74</v>
      </c>
      <c r="D6" s="117" t="s">
        <v>33</v>
      </c>
      <c r="E6" s="127" t="s">
        <v>75</v>
      </c>
      <c r="F6" s="118">
        <v>3</v>
      </c>
      <c r="G6" s="76" t="s">
        <v>76</v>
      </c>
      <c r="H6" s="60"/>
      <c r="I6" s="61"/>
      <c r="J6" s="62" t="s">
        <v>77</v>
      </c>
      <c r="K6" s="63"/>
      <c r="L6" s="63"/>
      <c r="M6" s="131"/>
      <c r="N6" s="64"/>
      <c r="O6" s="65" t="s">
        <v>78</v>
      </c>
      <c r="P6" s="32"/>
      <c r="Q6" s="119"/>
      <c r="R6" s="120"/>
      <c r="S6" s="120"/>
      <c r="T6" s="36"/>
      <c r="U6" s="36"/>
      <c r="V6" s="36"/>
      <c r="W6" s="26" t="str">
        <f>IFERROR(VALUE(MID(P6,7,1)),"")</f>
        <v/>
      </c>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row>
    <row r="7" spans="2:116" s="35" customFormat="1" ht="312" customHeight="1">
      <c r="B7" s="117" t="s">
        <v>65</v>
      </c>
      <c r="C7" s="117" t="s">
        <v>74</v>
      </c>
      <c r="D7" s="117" t="s">
        <v>33</v>
      </c>
      <c r="E7" s="74" t="s">
        <v>79</v>
      </c>
      <c r="F7" s="118">
        <v>4</v>
      </c>
      <c r="G7" s="76" t="s">
        <v>80</v>
      </c>
      <c r="H7" s="60"/>
      <c r="I7" s="61"/>
      <c r="J7" s="62" t="s">
        <v>81</v>
      </c>
      <c r="K7" s="63"/>
      <c r="L7" s="63"/>
      <c r="M7" s="131"/>
      <c r="N7" s="64"/>
      <c r="O7" s="65" t="s">
        <v>82</v>
      </c>
      <c r="P7" s="32"/>
      <c r="Q7" s="119"/>
      <c r="R7" s="120"/>
      <c r="S7" s="120"/>
      <c r="T7" s="34"/>
      <c r="U7" s="34"/>
      <c r="V7" s="34"/>
      <c r="W7" s="26"/>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row>
    <row r="8" spans="2:116" s="35" customFormat="1" ht="81" customHeight="1">
      <c r="B8" s="117" t="s">
        <v>65</v>
      </c>
      <c r="C8" s="117" t="s">
        <v>83</v>
      </c>
      <c r="D8" s="117" t="s">
        <v>33</v>
      </c>
      <c r="E8" s="74" t="s">
        <v>84</v>
      </c>
      <c r="F8" s="118">
        <v>5</v>
      </c>
      <c r="G8" s="76" t="s">
        <v>85</v>
      </c>
      <c r="H8" s="60"/>
      <c r="I8" s="61"/>
      <c r="J8" s="62"/>
      <c r="K8" s="63"/>
      <c r="L8" s="63"/>
      <c r="M8" s="131"/>
      <c r="N8" s="64"/>
      <c r="O8" s="65" t="s">
        <v>86</v>
      </c>
      <c r="P8" s="32"/>
      <c r="Q8" s="119"/>
      <c r="R8" s="120"/>
      <c r="S8" s="120"/>
      <c r="T8" s="34"/>
      <c r="U8" s="34"/>
      <c r="V8" s="34"/>
      <c r="W8" s="26"/>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row>
    <row r="9" spans="2:116" s="35" customFormat="1" ht="198" customHeight="1">
      <c r="B9" s="117" t="s">
        <v>87</v>
      </c>
      <c r="C9" s="117" t="s">
        <v>88</v>
      </c>
      <c r="D9" s="117" t="s">
        <v>34</v>
      </c>
      <c r="E9" s="128" t="s">
        <v>89</v>
      </c>
      <c r="F9" s="118">
        <v>6</v>
      </c>
      <c r="G9" s="128" t="s">
        <v>90</v>
      </c>
      <c r="H9" s="60"/>
      <c r="I9" s="61"/>
      <c r="J9" s="62" t="s">
        <v>91</v>
      </c>
      <c r="K9" s="63"/>
      <c r="L9" s="63"/>
      <c r="M9" s="131"/>
      <c r="N9" s="64"/>
      <c r="O9" s="62" t="s">
        <v>92</v>
      </c>
      <c r="P9" s="32"/>
      <c r="Q9" s="33" t="str">
        <f>IF(P9="Level 5 (Exemplary Compliance)", "",
IF(P9="Level 4 (Strong)", "RoPA and data flows are complete, updated, and accessible, but may lack integration with broader risk management or automation tools.",
IF(P9="Level 3 (Developing)", "A formal RoPA is in place with core elements, but records are outdated, incomplete, or not regularly reviewed and not easily auditable.",
IF(P9="Level 2 (Emerging)", "An informal or incomplete list exists, but lacks required details and consistency, with no reliable data flow mapping or cross-border data tracking.",
IF(P9="Level 1 (Critical)", "No RoPA or personal data inventory exists, and there is no awareness of processing requirements or mapping obligations.",
"")))))</f>
        <v/>
      </c>
      <c r="R9" s="120"/>
      <c r="S9" s="120"/>
      <c r="T9" s="34"/>
      <c r="U9" s="34"/>
      <c r="V9" s="34"/>
      <c r="W9" s="26" t="str">
        <f>IFERROR(VALUE(MID(P9,7,1)),"")</f>
        <v/>
      </c>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row>
    <row r="10" spans="2:116" s="35" customFormat="1" ht="198" customHeight="1">
      <c r="B10" s="117" t="s">
        <v>87</v>
      </c>
      <c r="C10" s="117" t="s">
        <v>93</v>
      </c>
      <c r="D10" s="117" t="s">
        <v>34</v>
      </c>
      <c r="E10" s="76" t="s">
        <v>94</v>
      </c>
      <c r="F10" s="118">
        <v>7</v>
      </c>
      <c r="G10" s="129" t="s">
        <v>95</v>
      </c>
      <c r="H10" s="60"/>
      <c r="I10" s="61"/>
      <c r="J10" s="62" t="s">
        <v>96</v>
      </c>
      <c r="K10" s="63"/>
      <c r="L10" s="63"/>
      <c r="M10" s="131"/>
      <c r="N10" s="64"/>
      <c r="O10" s="65" t="s">
        <v>97</v>
      </c>
      <c r="P10" s="32"/>
      <c r="Q10" s="33" t="str">
        <f>IF(P10="Level 5 (Exemplary Compliance)", "",
IF(P10="Level 4 (Strong)", "A valid NPC Certificate and Seal are in place, properly displayed online and on physical premises, with complete and updated registration records.",
IF(P10="Level 3 (Developing)", "A valid NPC Certificate exists, but the Seal is not visibly posted online or onsite, and some registration details may be outdated.",
IF(P10="Level 2 (Emerging)", "Registration has been attempted but remains incomplete due to missing documents, incorrect DPO info, or absence of Seal display.",
IF(P10="Level 1 (Critical)", "No NPC Certificate or Seal of Registration is available; the organization is not registered with the NPC.",
"")))))</f>
        <v/>
      </c>
      <c r="R10" s="120"/>
      <c r="S10" s="120"/>
      <c r="T10" s="34"/>
      <c r="U10" s="34"/>
      <c r="V10" s="34"/>
      <c r="W10" s="26" t="str">
        <f t="shared" ref="W10:W20" si="0">IFERROR(VALUE(MID(P10,7,1)),"")</f>
        <v/>
      </c>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row>
    <row r="11" spans="2:116" s="35" customFormat="1" ht="81" customHeight="1">
      <c r="B11" s="117" t="s">
        <v>87</v>
      </c>
      <c r="C11" s="117" t="s">
        <v>98</v>
      </c>
      <c r="D11" s="117" t="s">
        <v>34</v>
      </c>
      <c r="E11" s="127" t="s">
        <v>99</v>
      </c>
      <c r="F11" s="118">
        <v>8</v>
      </c>
      <c r="G11" s="76" t="s">
        <v>100</v>
      </c>
      <c r="H11" s="60"/>
      <c r="I11" s="61"/>
      <c r="J11" s="62" t="s">
        <v>101</v>
      </c>
      <c r="K11" s="63"/>
      <c r="L11" s="63"/>
      <c r="M11" s="131"/>
      <c r="N11" s="64"/>
      <c r="O11" s="65" t="s">
        <v>102</v>
      </c>
      <c r="P11" s="32"/>
      <c r="Q11" s="33" t="str">
        <f>IF(P11="Level 5 (Exemplary Compliance)", "",
IF(P11="Level 4 (Strong)", "All relevant systems have completed PIAs with documented risks and mitigation steps endorsed by key officers.",
IF(P11="Level 3 (Developing)", "Some systems have documented PIAs, but coverage is inconsistent, and risk analysis is either lacking or not maintained.",
IF(P11="Level 2 (Emerging)", "PIA efforts exist but are limited to informal or incomplete drafts without risk assessment or formal approvals.",
IF(P11="Level 1 (Critical)", "No PIA is performed or documented, exposing the organization to unknown privacy risks and regulatory non-compliance.",
"")))))</f>
        <v/>
      </c>
      <c r="R11" s="120"/>
      <c r="S11" s="120"/>
      <c r="T11" s="34"/>
      <c r="U11" s="34"/>
      <c r="V11" s="34"/>
      <c r="W11" s="26" t="str">
        <f>IFERROR(VALUE(MID(P11,7,1)),"")</f>
        <v/>
      </c>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row>
    <row r="12" spans="2:116" s="35" customFormat="1" ht="216" customHeight="1">
      <c r="B12" s="117" t="s">
        <v>87</v>
      </c>
      <c r="C12" s="117" t="s">
        <v>103</v>
      </c>
      <c r="D12" s="117" t="s">
        <v>35</v>
      </c>
      <c r="E12" s="62" t="s">
        <v>104</v>
      </c>
      <c r="F12" s="118">
        <v>9</v>
      </c>
      <c r="G12" s="76" t="s">
        <v>105</v>
      </c>
      <c r="H12" s="60"/>
      <c r="I12" s="61"/>
      <c r="J12" s="62" t="s">
        <v>106</v>
      </c>
      <c r="K12" s="63"/>
      <c r="L12" s="63"/>
      <c r="M12" s="131"/>
      <c r="N12" s="64"/>
      <c r="O12" s="65" t="s">
        <v>107</v>
      </c>
      <c r="P12" s="32"/>
      <c r="Q12" s="33" t="str">
        <f>IF(P12="Level 5 (Exemplary)", "",
IF(P12="Level 4 (Strong)", "Privacy Manual and complaint process are complete and functional, but not yet embedded into wider risk management practices. Basis: RA 10173 Sec. 21; NPC Circular 2022-04 Sec. 10, 14.",
IF(P12="Level 3 (Developing)", "Manual and procedures exist but lack depth, regular use, or accessibility to all data subjects. Basis: RA 10173 Sec. 16 &amp; 21; NPC Circular 2022-04 Sec. 10, 14.",
IF(P12="Level 2 (Emerging)", "Manual exists in draft form; complaints procedures are unclear, informal, or lack responsible personnel. Basis: RA 10173 Sec. 21; NPC Advisory 2017-01; NPC Circular 2022-04 Sec. 5, 6.",
IF(P12="Level 1 (Critical)", "No privacy documentation or complaint channels exist, resulting in no guidance or recourse for data subjects. Basis: RA 10173 Sec. 16 &amp; 21; NPC Circular 2022-04 Sec. 5, 6, 10, 14.",
"")))))</f>
        <v/>
      </c>
      <c r="R12" s="120"/>
      <c r="S12" s="120"/>
      <c r="T12" s="34"/>
      <c r="U12" s="34"/>
      <c r="V12" s="34"/>
      <c r="W12" s="26" t="str">
        <f t="shared" si="0"/>
        <v/>
      </c>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row>
    <row r="13" spans="2:116" customFormat="1" ht="110.25" customHeight="1">
      <c r="B13" s="117" t="s">
        <v>87</v>
      </c>
      <c r="C13" s="117" t="s">
        <v>108</v>
      </c>
      <c r="D13" s="117" t="s">
        <v>37</v>
      </c>
      <c r="E13" s="66" t="s">
        <v>109</v>
      </c>
      <c r="F13" s="118">
        <v>10</v>
      </c>
      <c r="G13" s="66" t="s">
        <v>110</v>
      </c>
      <c r="H13" s="60"/>
      <c r="I13" s="61"/>
      <c r="J13" s="62" t="s">
        <v>111</v>
      </c>
      <c r="K13" s="63"/>
      <c r="L13" s="63"/>
      <c r="M13" s="131"/>
      <c r="N13" s="64"/>
      <c r="O13" s="65" t="s">
        <v>112</v>
      </c>
      <c r="P13" s="32"/>
      <c r="Q13" s="33" t="str">
        <f>IF(P13="Level 5 (Exemplary)","",
IF(P13="Level 4 (Strong)","Updated and documented policies fully cover Acceptable Use; explained to all relevant users; formal user agreement signed before access.",
IF(P13="Level 3 (Developing)","Policies cover most areas and are explained to some users; user agreement obtained inconsistently.",
IF(P13="Level 2 (Emerging)","Policies exist but are outdated or incomplete; limited communication; no formal user agreement.",
IF(P13="Level 1 (Critical)","No documented Acceptable Use policies; users receive no explanations or agreements.",
"")))))</f>
        <v/>
      </c>
      <c r="R13" s="120"/>
      <c r="S13" s="120"/>
      <c r="T13" s="34"/>
      <c r="U13" s="34"/>
      <c r="V13" s="34"/>
      <c r="W13" s="26" t="str">
        <f t="shared" si="0"/>
        <v/>
      </c>
    </row>
    <row r="14" spans="2:116" customFormat="1" ht="261.75">
      <c r="B14" s="117" t="s">
        <v>87</v>
      </c>
      <c r="C14" s="117" t="s">
        <v>113</v>
      </c>
      <c r="D14" s="117" t="s">
        <v>40</v>
      </c>
      <c r="E14" s="74" t="s">
        <v>114</v>
      </c>
      <c r="F14" s="118">
        <v>11</v>
      </c>
      <c r="G14" s="62" t="s">
        <v>115</v>
      </c>
      <c r="H14" s="69"/>
      <c r="I14" s="61"/>
      <c r="J14" s="70" t="s">
        <v>116</v>
      </c>
      <c r="K14" s="67"/>
      <c r="L14" s="67"/>
      <c r="M14" s="131"/>
      <c r="N14" s="64"/>
      <c r="O14" s="62" t="s">
        <v>117</v>
      </c>
      <c r="P14" s="32"/>
      <c r="Q14" s="29" t="str">
        <f>IF(P14="Level 5 (Exemplary)","",
IF(P14="Level 4 (Strong)","Regular, scheduled training programs with documented attendance and materials covering all relevant personnel.",
IF(P14="Level 3 (Developing)","Periodic trainings held but attendance and coverage are inconsistent or incomplete.",
IF(P14="Level 2 (Emerging)","Training conducted irregularly or only for select employees.",
IF(P14="Level 1 (Critical)","No training programs conducted for personnel on privacy and security policies.",
"")))))</f>
        <v/>
      </c>
      <c r="R14" s="31"/>
      <c r="S14" s="120"/>
      <c r="T14" s="30"/>
      <c r="U14" s="30"/>
      <c r="V14" s="30"/>
      <c r="W14" s="26" t="str">
        <f>IFERROR(VALUE(MID(P14,7,1)),"")</f>
        <v/>
      </c>
    </row>
    <row r="15" spans="2:116" customFormat="1" ht="78.75" customHeight="1">
      <c r="B15" s="117" t="s">
        <v>87</v>
      </c>
      <c r="C15" s="117" t="s">
        <v>113</v>
      </c>
      <c r="D15" s="117" t="s">
        <v>40</v>
      </c>
      <c r="E15" s="127" t="s">
        <v>118</v>
      </c>
      <c r="F15" s="118">
        <v>12</v>
      </c>
      <c r="G15" s="76" t="s">
        <v>119</v>
      </c>
      <c r="H15" s="69"/>
      <c r="I15" s="61"/>
      <c r="J15" s="70" t="s">
        <v>120</v>
      </c>
      <c r="K15" s="67"/>
      <c r="L15" s="67"/>
      <c r="M15" s="131"/>
      <c r="N15" s="64"/>
      <c r="O15" s="62" t="s">
        <v>121</v>
      </c>
      <c r="P15" s="32"/>
      <c r="Q15" s="29"/>
      <c r="R15" s="31"/>
      <c r="S15" s="120"/>
      <c r="T15" s="30"/>
      <c r="U15" s="30"/>
      <c r="V15" s="30"/>
      <c r="W15" s="26"/>
    </row>
    <row r="16" spans="2:116" customFormat="1" ht="80.25" customHeight="1">
      <c r="B16" s="117" t="s">
        <v>87</v>
      </c>
      <c r="C16" s="117" t="s">
        <v>113</v>
      </c>
      <c r="D16" s="117" t="s">
        <v>40</v>
      </c>
      <c r="E16" s="74" t="s">
        <v>122</v>
      </c>
      <c r="F16" s="118">
        <v>13</v>
      </c>
      <c r="G16" s="76" t="s">
        <v>123</v>
      </c>
      <c r="H16" s="69"/>
      <c r="I16" s="61"/>
      <c r="J16" s="70" t="s">
        <v>124</v>
      </c>
      <c r="K16" s="67"/>
      <c r="L16" s="67"/>
      <c r="M16" s="131"/>
      <c r="N16" s="64"/>
      <c r="O16" s="62" t="s">
        <v>125</v>
      </c>
      <c r="P16" s="32"/>
      <c r="Q16" s="29" t="str">
        <f>IF(P16="Level 5 (Exemplary)","",
IF(P16="Level 4 (Strong)","All employees formally acknowledge DPA compliance with proper documentation and recordkeeping.",
IF(P16="Level 3 (Developing)","Most employees have signed but records are incomplete or inconsistently maintained.",
IF(P16="Level 2 (Emerging)","Acknowledgment exists but is informal, inconsistently signed, or not properly filed.",
IF(P16="Level 1 (Critical)","No documented acknowledgment or commitment to comply with the DPA by employees.",
"")))))</f>
        <v/>
      </c>
      <c r="R16" s="31"/>
      <c r="S16" s="120"/>
      <c r="T16" s="30"/>
      <c r="U16" s="30"/>
      <c r="V16" s="30"/>
      <c r="W16" s="26" t="str">
        <f t="shared" ref="W16:W18" si="1">IFERROR(VALUE(MID(P16,7,1)),"")</f>
        <v/>
      </c>
    </row>
    <row r="17" spans="1:117" customFormat="1" ht="78.75" customHeight="1">
      <c r="B17" s="117" t="s">
        <v>87</v>
      </c>
      <c r="C17" s="117" t="s">
        <v>126</v>
      </c>
      <c r="D17" s="117" t="s">
        <v>38</v>
      </c>
      <c r="E17" s="74" t="s">
        <v>127</v>
      </c>
      <c r="F17" s="118">
        <v>14</v>
      </c>
      <c r="G17" s="76" t="s">
        <v>128</v>
      </c>
      <c r="H17" s="69"/>
      <c r="I17" s="61"/>
      <c r="J17" s="70" t="s">
        <v>129</v>
      </c>
      <c r="K17" s="67"/>
      <c r="L17" s="67"/>
      <c r="M17" s="131"/>
      <c r="N17" s="64"/>
      <c r="O17" s="62" t="s">
        <v>130</v>
      </c>
      <c r="P17" s="32"/>
      <c r="Q17" s="29" t="str">
        <f>IF(P17="Level 5 (Exemplary)","",
IF(P17="Level 4 (Strong)","DPO regularly participates in updated, relevant training programs; certificates documented and maintained.",
IF(P17="Level 3 (Developing)","DPO attends some relevant trainings; records exist but may lack consistency or comprehensiveness.",
IF(P17="Level 2 (Emerging)","Occasional or one-time training attended by the DPO without regular updates.",
IF(P17="Level 1 (Critical)","No training or capacity-building activities documented for the DPO.",
"")))))</f>
        <v/>
      </c>
      <c r="R17" s="31"/>
      <c r="S17" s="120"/>
      <c r="T17" s="30"/>
      <c r="U17" s="30"/>
      <c r="V17" s="30"/>
      <c r="W17" s="26" t="str">
        <f t="shared" si="1"/>
        <v/>
      </c>
    </row>
    <row r="18" spans="1:117" customFormat="1" ht="87.75" customHeight="1">
      <c r="B18" s="117" t="s">
        <v>87</v>
      </c>
      <c r="C18" s="117" t="s">
        <v>126</v>
      </c>
      <c r="D18" s="117" t="s">
        <v>38</v>
      </c>
      <c r="E18" s="74" t="s">
        <v>131</v>
      </c>
      <c r="F18" s="118">
        <v>15</v>
      </c>
      <c r="G18" s="76" t="s">
        <v>132</v>
      </c>
      <c r="H18" s="69"/>
      <c r="I18" s="61"/>
      <c r="J18" s="68" t="s">
        <v>133</v>
      </c>
      <c r="K18" s="67"/>
      <c r="L18" s="67"/>
      <c r="M18" s="131"/>
      <c r="N18" s="64"/>
      <c r="O18" s="62" t="s">
        <v>134</v>
      </c>
      <c r="P18" s="32"/>
      <c r="Q18" s="29" t="str">
        <f>IF(P18="Level 5 (Exemplary)","",
IF(P18="Level 4 (Strong)","DPO holds multiple relevant certifications and maintains active membership in recognized privacy or data protection organizations.",
IF(P18="Level 3 (Developing)","DPO holds at least one relevant certification or is a member of a recognized privacy/professional organization.",
IF(P18="Level 2 (Emerging)","DPO has some informal or unrelated training but no recognized certifications or memberships.",
IF(P18="Level 1 (Critical)","DPO has no relevant certifications or memberships.",
"")))))</f>
        <v/>
      </c>
      <c r="R18" s="31"/>
      <c r="S18" s="120"/>
      <c r="T18" s="30"/>
      <c r="U18" s="30"/>
      <c r="V18" s="30"/>
      <c r="W18" s="26" t="str">
        <f t="shared" si="1"/>
        <v/>
      </c>
    </row>
    <row r="19" spans="1:117" customFormat="1" ht="170.25" customHeight="1">
      <c r="B19" s="117" t="s">
        <v>87</v>
      </c>
      <c r="C19" s="117" t="s">
        <v>135</v>
      </c>
      <c r="D19" s="117" t="s">
        <v>39</v>
      </c>
      <c r="E19" s="75" t="s">
        <v>136</v>
      </c>
      <c r="F19" s="118">
        <v>16</v>
      </c>
      <c r="G19" s="65" t="s">
        <v>137</v>
      </c>
      <c r="H19" s="69"/>
      <c r="I19" s="61"/>
      <c r="J19" s="70" t="s">
        <v>138</v>
      </c>
      <c r="K19" s="67"/>
      <c r="L19" s="67"/>
      <c r="M19" s="131"/>
      <c r="N19" s="64"/>
      <c r="O19" s="62" t="s">
        <v>139</v>
      </c>
      <c r="P19" s="32"/>
      <c r="Q19" s="29" t="str">
        <f>IF(P19="Level 5 (Exemplary)","",
IF(P19="Level 4 (Strong)","Formally executed, comprehensive DSAs covering scope, responsibilities, security, and breach notifications; regularly reviewed.",
IF(P19="Level 3 (Developing)","DSAs executed for most arrangements; some lack key clauses or are outdated.",
IF(P19="Level 2 (Emerging)","DSAs exist but are incomplete, informal, or not executed before sharing begins.",
IF(P19="Level 1 (Critical)","No Data Sharing Agreements executed with third parties for personal data sharing.",
"")))))</f>
        <v/>
      </c>
      <c r="R19" s="31"/>
      <c r="S19" s="120"/>
      <c r="T19" s="30"/>
      <c r="U19" s="30"/>
      <c r="V19" s="30"/>
      <c r="W19" s="26" t="str">
        <f t="shared" si="0"/>
        <v/>
      </c>
    </row>
    <row r="20" spans="1:117" customFormat="1" ht="195.75" customHeight="1">
      <c r="B20" s="117" t="s">
        <v>87</v>
      </c>
      <c r="C20" s="117" t="s">
        <v>135</v>
      </c>
      <c r="D20" s="117" t="s">
        <v>39</v>
      </c>
      <c r="E20" s="127" t="s">
        <v>140</v>
      </c>
      <c r="F20" s="118">
        <v>17</v>
      </c>
      <c r="G20" s="76" t="s">
        <v>141</v>
      </c>
      <c r="H20" s="69"/>
      <c r="I20" s="61"/>
      <c r="J20" s="70" t="s">
        <v>142</v>
      </c>
      <c r="K20" s="67"/>
      <c r="L20" s="67"/>
      <c r="M20" s="131"/>
      <c r="N20" s="64"/>
      <c r="O20" s="62" t="s">
        <v>143</v>
      </c>
      <c r="P20" s="32"/>
      <c r="Q20" s="29" t="str">
        <f>IF(P20="Level 5 (Exemplary)","",
IF(P20="Level 4 (Strong)","Fully reviewed and executed contracts with Personal Information Processors (PIPs), incorporating DPA compliance, security, confidentiality, breach notification, audit rights, and data disposal clauses; periodic reviews documented.",
IF(P20="Level 3 (Developing)","Contracts include most required data protection clauses but lack comprehensive documentation or regular periodic reviews.",
IF(P20="Level 2 (Emerging)","Contracts exist but lack explicit DPA compliance clauses or essential data protection provisions.",
IF(P20="Level 1 (Critical)","No outsourcing contracts executed or reviewed for compliance with the Data Privacy Act (DPA).",
"")))))</f>
        <v/>
      </c>
      <c r="R20" s="31"/>
      <c r="S20" s="120"/>
      <c r="T20" s="30"/>
      <c r="U20" s="30"/>
      <c r="V20" s="30"/>
      <c r="W20" s="26" t="str">
        <f t="shared" si="0"/>
        <v/>
      </c>
    </row>
    <row r="21" spans="1:117" customFormat="1" ht="195.75" customHeight="1">
      <c r="A21" s="35"/>
      <c r="B21" s="117" t="s">
        <v>87</v>
      </c>
      <c r="C21" s="117" t="s">
        <v>144</v>
      </c>
      <c r="D21" s="117" t="s">
        <v>36</v>
      </c>
      <c r="E21" s="62" t="s">
        <v>145</v>
      </c>
      <c r="F21" s="118">
        <v>18</v>
      </c>
      <c r="G21" s="76" t="s">
        <v>146</v>
      </c>
      <c r="H21" s="60"/>
      <c r="I21" s="61"/>
      <c r="J21" s="62" t="s">
        <v>147</v>
      </c>
      <c r="K21" s="63"/>
      <c r="L21" s="63"/>
      <c r="M21" s="131"/>
      <c r="N21" s="64"/>
      <c r="O21" s="65" t="s">
        <v>148</v>
      </c>
      <c r="P21" s="32"/>
      <c r="Q21" s="33"/>
      <c r="R21" s="120"/>
      <c r="S21" s="120"/>
      <c r="T21" s="34"/>
      <c r="U21" s="34"/>
      <c r="V21" s="34"/>
      <c r="W21" s="26"/>
      <c r="DM21" s="35"/>
    </row>
    <row r="22" spans="1:117" customFormat="1" ht="195.75" customHeight="1">
      <c r="A22" s="35"/>
      <c r="B22" s="117" t="s">
        <v>87</v>
      </c>
      <c r="C22" s="117" t="s">
        <v>144</v>
      </c>
      <c r="D22" s="117" t="s">
        <v>36</v>
      </c>
      <c r="E22" s="62" t="s">
        <v>149</v>
      </c>
      <c r="F22" s="118">
        <v>19</v>
      </c>
      <c r="G22" s="76" t="s">
        <v>150</v>
      </c>
      <c r="H22" s="60"/>
      <c r="I22" s="61"/>
      <c r="J22" s="62" t="s">
        <v>151</v>
      </c>
      <c r="K22" s="63"/>
      <c r="L22" s="63"/>
      <c r="M22" s="131"/>
      <c r="N22" s="64"/>
      <c r="O22" s="65" t="s">
        <v>152</v>
      </c>
      <c r="P22" s="32"/>
      <c r="Q22" s="33"/>
      <c r="R22" s="120"/>
      <c r="S22" s="120"/>
      <c r="T22" s="34"/>
      <c r="U22" s="34"/>
      <c r="V22" s="34"/>
      <c r="W22" s="26"/>
      <c r="DM22" s="35"/>
    </row>
    <row r="23" spans="1:117" customFormat="1" ht="195.75" customHeight="1">
      <c r="B23" s="117" t="s">
        <v>87</v>
      </c>
      <c r="C23" s="117" t="s">
        <v>144</v>
      </c>
      <c r="D23" s="117" t="s">
        <v>36</v>
      </c>
      <c r="E23" s="62" t="s">
        <v>153</v>
      </c>
      <c r="F23" s="118">
        <v>20</v>
      </c>
      <c r="G23" s="65" t="s">
        <v>154</v>
      </c>
      <c r="H23" s="60"/>
      <c r="I23" s="61"/>
      <c r="J23" s="62" t="s">
        <v>155</v>
      </c>
      <c r="K23" s="62"/>
      <c r="L23" s="62"/>
      <c r="M23" s="131"/>
      <c r="N23" s="64"/>
      <c r="O23" s="65" t="s">
        <v>156</v>
      </c>
      <c r="P23" s="32"/>
      <c r="Q23" s="121" t="str">
        <f>IF(P23="Level 5 (Exemplary)","",
IF(P23="Level 4 (Strong)","Comprehensive, documented, and enforced procedures covering verification, sharing criteria, logging, and privacy protections; regular staff training.",
IF(P23="Level 3 (Developing)","Procedures include identity and authority verification; requests logged but documentation incomplete; some staff training.",
IF(P23="Level 2 (Emerging)","Basic procedures exist but lack clear verification criteria; logging and documentation are inconsistent; minimal staff training.",
IF(P23="Level 1 (Critical)","No procedures for handling third-party data requests; no verification or logging mechanisms.",
"")))))</f>
        <v/>
      </c>
      <c r="R23" s="122"/>
      <c r="S23" s="120"/>
      <c r="T23" s="34"/>
      <c r="U23" s="34"/>
      <c r="V23" s="34"/>
      <c r="W23" s="26" t="str">
        <f>IFERROR(VALUE(MID(P23,7,1)),"")</f>
        <v/>
      </c>
    </row>
    <row r="24" spans="1:117" s="35" customFormat="1" ht="81.75" customHeight="1">
      <c r="B24" s="117" t="s">
        <v>157</v>
      </c>
      <c r="C24" s="117" t="s">
        <v>158</v>
      </c>
      <c r="D24" s="117" t="s">
        <v>41</v>
      </c>
      <c r="E24" s="76" t="s">
        <v>159</v>
      </c>
      <c r="F24" s="118">
        <v>21</v>
      </c>
      <c r="G24" s="76" t="s">
        <v>160</v>
      </c>
      <c r="H24" s="60"/>
      <c r="I24" s="61"/>
      <c r="J24" s="62" t="s">
        <v>161</v>
      </c>
      <c r="K24" s="63"/>
      <c r="L24" s="63"/>
      <c r="M24" s="131"/>
      <c r="N24" s="64"/>
      <c r="O24" s="65" t="s">
        <v>162</v>
      </c>
      <c r="P24" s="32"/>
      <c r="Q24" s="33"/>
      <c r="R24" s="120"/>
      <c r="S24" s="120"/>
      <c r="T24" s="34"/>
      <c r="U24" s="34"/>
      <c r="V24" s="34"/>
      <c r="W24" s="26"/>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row>
    <row r="25" spans="1:117" s="35" customFormat="1" ht="186.75" customHeight="1">
      <c r="B25" s="117" t="s">
        <v>157</v>
      </c>
      <c r="C25" s="117" t="s">
        <v>163</v>
      </c>
      <c r="D25" s="117" t="s">
        <v>41</v>
      </c>
      <c r="E25" s="74" t="s">
        <v>164</v>
      </c>
      <c r="F25" s="118">
        <v>22</v>
      </c>
      <c r="G25" s="76" t="s">
        <v>165</v>
      </c>
      <c r="H25" s="60"/>
      <c r="I25" s="61"/>
      <c r="J25" s="62"/>
      <c r="K25" s="63"/>
      <c r="L25" s="63"/>
      <c r="M25" s="131"/>
      <c r="N25" s="64"/>
      <c r="O25" s="65" t="s">
        <v>166</v>
      </c>
      <c r="P25" s="32"/>
      <c r="Q25" s="33"/>
      <c r="R25" s="120"/>
      <c r="S25" s="120"/>
      <c r="T25" s="34"/>
      <c r="U25" s="34"/>
      <c r="V25" s="34"/>
      <c r="W25" s="26"/>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row>
    <row r="26" spans="1:117" customFormat="1" ht="69.75" customHeight="1">
      <c r="A26" s="123"/>
      <c r="B26" s="117" t="s">
        <v>157</v>
      </c>
      <c r="C26" s="117" t="s">
        <v>163</v>
      </c>
      <c r="D26" s="117" t="s">
        <v>41</v>
      </c>
      <c r="E26" s="75" t="s">
        <v>167</v>
      </c>
      <c r="F26" s="118">
        <v>23</v>
      </c>
      <c r="G26" s="65" t="s">
        <v>168</v>
      </c>
      <c r="H26" s="69"/>
      <c r="I26" s="61"/>
      <c r="J26" s="70"/>
      <c r="K26" s="67"/>
      <c r="L26" s="67"/>
      <c r="M26" s="131"/>
      <c r="N26" s="64"/>
      <c r="O26" s="62" t="s">
        <v>169</v>
      </c>
      <c r="P26" s="32"/>
      <c r="Q26" s="29"/>
      <c r="R26" s="31"/>
      <c r="S26" s="120"/>
      <c r="T26" s="30"/>
      <c r="U26" s="30"/>
      <c r="V26" s="30"/>
      <c r="W26" s="26"/>
    </row>
    <row r="27" spans="1:117" customFormat="1" ht="63.75" customHeight="1">
      <c r="B27" s="117" t="s">
        <v>157</v>
      </c>
      <c r="C27" s="117" t="s">
        <v>163</v>
      </c>
      <c r="D27" s="117" t="s">
        <v>42</v>
      </c>
      <c r="E27" s="75" t="s">
        <v>170</v>
      </c>
      <c r="F27" s="118">
        <v>24</v>
      </c>
      <c r="G27" s="65" t="s">
        <v>171</v>
      </c>
      <c r="H27" s="69"/>
      <c r="I27" s="61"/>
      <c r="J27" s="70"/>
      <c r="K27" s="67"/>
      <c r="L27" s="67"/>
      <c r="M27" s="131"/>
      <c r="N27" s="64"/>
      <c r="O27" s="62" t="s">
        <v>172</v>
      </c>
      <c r="P27" s="32"/>
      <c r="Q27" s="29"/>
      <c r="R27" s="31"/>
      <c r="S27" s="120"/>
      <c r="T27" s="30"/>
      <c r="U27" s="30"/>
      <c r="V27" s="30"/>
      <c r="W27" s="26"/>
    </row>
    <row r="28" spans="1:117" customFormat="1">
      <c r="B28" s="71"/>
      <c r="C28" s="71"/>
      <c r="D28" s="72"/>
      <c r="E28" s="12"/>
      <c r="F28" s="107"/>
      <c r="G28" s="92"/>
      <c r="H28" s="13"/>
      <c r="I28" s="145"/>
      <c r="J28" s="13"/>
      <c r="K28" s="10"/>
      <c r="L28" s="10"/>
      <c r="M28" s="7"/>
      <c r="N28" s="10"/>
      <c r="O28" s="1"/>
      <c r="P28" s="21"/>
      <c r="Q28" s="23" t="str">
        <f t="shared" ref="Q28:Q86" si="2">IF(P28="Exemplary", "None; meets or exceeds all minimum requirements.",IF(P28="Strong", "Minor gaps in execution or periodic review; improvement needed.",IF(P28="Developing", "Partial compliance; gaps in documentation, roles, or execution.",IF(P28="Emerging", "Informal or incomplete implementation; missing formal documents or procedures.",IF(P28="Critical", "Control not initiated; no documentation or designation.","")))))</f>
        <v/>
      </c>
      <c r="R28" s="7"/>
      <c r="S28" s="7"/>
      <c r="W28" s="7" t="str">
        <f t="shared" ref="W28:W87" si="3">IFERROR(VALUE(MID(P28,7,1)),"")</f>
        <v/>
      </c>
    </row>
    <row r="29" spans="1:117" customFormat="1">
      <c r="B29" s="71"/>
      <c r="C29" s="71"/>
      <c r="D29" s="72"/>
      <c r="E29" s="12"/>
      <c r="F29" s="107"/>
      <c r="G29" s="11"/>
      <c r="H29" s="13"/>
      <c r="I29" s="145"/>
      <c r="J29" s="13"/>
      <c r="K29" s="10"/>
      <c r="L29" s="10"/>
      <c r="M29" s="7"/>
      <c r="N29" s="10"/>
      <c r="O29" s="1"/>
      <c r="P29" s="21"/>
      <c r="Q29" s="23" t="str">
        <f t="shared" si="2"/>
        <v/>
      </c>
      <c r="R29" s="7"/>
      <c r="S29" s="7"/>
      <c r="W29" s="7" t="str">
        <f t="shared" si="3"/>
        <v/>
      </c>
    </row>
    <row r="30" spans="1:117" customFormat="1">
      <c r="B30" s="71"/>
      <c r="C30" s="71"/>
      <c r="D30" s="72"/>
      <c r="E30" s="12"/>
      <c r="F30" s="107"/>
      <c r="G30" s="11"/>
      <c r="H30" s="13"/>
      <c r="I30" s="145"/>
      <c r="J30" s="13"/>
      <c r="K30" s="10"/>
      <c r="L30" s="10"/>
      <c r="M30" s="7"/>
      <c r="N30" s="10"/>
      <c r="O30" s="1"/>
      <c r="P30" s="21"/>
      <c r="Q30" s="23" t="str">
        <f t="shared" si="2"/>
        <v/>
      </c>
      <c r="R30" s="7"/>
      <c r="S30" s="7"/>
      <c r="W30" s="7" t="str">
        <f t="shared" si="3"/>
        <v/>
      </c>
    </row>
    <row r="31" spans="1:117" customFormat="1">
      <c r="B31" s="71"/>
      <c r="C31" s="71"/>
      <c r="D31" s="72"/>
      <c r="E31" s="12"/>
      <c r="F31" s="107"/>
      <c r="G31" s="11"/>
      <c r="H31" s="13"/>
      <c r="I31" s="145"/>
      <c r="J31" s="13"/>
      <c r="K31" s="10"/>
      <c r="L31" s="10"/>
      <c r="M31" s="7"/>
      <c r="N31" s="10"/>
      <c r="O31" s="1"/>
      <c r="P31" s="21"/>
      <c r="Q31" s="23" t="str">
        <f t="shared" si="2"/>
        <v/>
      </c>
      <c r="R31" s="7"/>
      <c r="S31" s="7"/>
      <c r="W31" s="7" t="str">
        <f t="shared" si="3"/>
        <v/>
      </c>
    </row>
    <row r="32" spans="1:117" customFormat="1">
      <c r="B32" s="71"/>
      <c r="C32" s="71"/>
      <c r="D32" s="72"/>
      <c r="E32" s="12"/>
      <c r="F32" s="107"/>
      <c r="G32" s="11"/>
      <c r="H32" s="13"/>
      <c r="I32" s="145"/>
      <c r="J32" s="13"/>
      <c r="K32" s="10"/>
      <c r="L32" s="10"/>
      <c r="M32" s="7"/>
      <c r="N32" s="10"/>
      <c r="O32" s="1"/>
      <c r="P32" s="21"/>
      <c r="Q32" s="23" t="str">
        <f t="shared" si="2"/>
        <v/>
      </c>
      <c r="R32" s="7"/>
      <c r="S32" s="7"/>
      <c r="W32" s="7" t="str">
        <f t="shared" si="3"/>
        <v/>
      </c>
    </row>
    <row r="33" spans="2:23" customFormat="1">
      <c r="B33" s="71"/>
      <c r="C33" s="71"/>
      <c r="D33" s="72"/>
      <c r="E33" s="12"/>
      <c r="F33" s="109"/>
      <c r="G33" s="11"/>
      <c r="H33" s="13"/>
      <c r="I33" s="145"/>
      <c r="J33" s="13"/>
      <c r="K33" s="10"/>
      <c r="L33" s="10"/>
      <c r="M33" s="7"/>
      <c r="N33" s="10"/>
      <c r="O33" s="1"/>
      <c r="P33" s="21"/>
      <c r="Q33" s="23" t="str">
        <f t="shared" si="2"/>
        <v/>
      </c>
      <c r="R33" s="7"/>
      <c r="S33" s="7"/>
      <c r="W33" s="7" t="str">
        <f t="shared" si="3"/>
        <v/>
      </c>
    </row>
    <row r="34" spans="2:23" customFormat="1">
      <c r="B34" s="71"/>
      <c r="C34" s="71"/>
      <c r="D34" s="72"/>
      <c r="E34" s="12"/>
      <c r="F34" s="107"/>
      <c r="G34" s="11"/>
      <c r="H34" s="13"/>
      <c r="I34" s="14"/>
      <c r="J34" s="13"/>
      <c r="K34" s="10"/>
      <c r="L34" s="10"/>
      <c r="M34" s="7"/>
      <c r="N34" s="10"/>
      <c r="O34" s="1"/>
      <c r="P34" s="21"/>
      <c r="Q34" s="23" t="str">
        <f t="shared" si="2"/>
        <v/>
      </c>
      <c r="R34" s="7"/>
      <c r="S34" s="7"/>
      <c r="W34" s="7" t="str">
        <f t="shared" si="3"/>
        <v/>
      </c>
    </row>
    <row r="35" spans="2:23" customFormat="1">
      <c r="B35" s="71"/>
      <c r="C35" s="71"/>
      <c r="D35" s="72"/>
      <c r="E35" s="12"/>
      <c r="F35" s="107"/>
      <c r="G35" s="11"/>
      <c r="H35" s="13"/>
      <c r="I35" s="14"/>
      <c r="J35" s="13"/>
      <c r="K35" s="10"/>
      <c r="L35" s="10"/>
      <c r="M35" s="7"/>
      <c r="N35" s="10"/>
      <c r="O35" s="1"/>
      <c r="P35" s="21"/>
      <c r="Q35" s="23" t="str">
        <f t="shared" si="2"/>
        <v/>
      </c>
      <c r="R35" s="7"/>
      <c r="S35" s="7"/>
      <c r="W35" s="7" t="str">
        <f t="shared" si="3"/>
        <v/>
      </c>
    </row>
    <row r="36" spans="2:23" customFormat="1">
      <c r="B36" s="71"/>
      <c r="C36" s="71"/>
      <c r="D36" s="72"/>
      <c r="E36" s="12"/>
      <c r="F36" s="107"/>
      <c r="G36" s="11"/>
      <c r="H36" s="13"/>
      <c r="I36" s="14"/>
      <c r="J36" s="13"/>
      <c r="K36" s="10"/>
      <c r="L36" s="10"/>
      <c r="M36" s="7"/>
      <c r="N36" s="10"/>
      <c r="O36" s="1"/>
      <c r="P36" s="21"/>
      <c r="Q36" s="23" t="str">
        <f t="shared" si="2"/>
        <v/>
      </c>
      <c r="R36" s="7"/>
      <c r="S36" s="7"/>
      <c r="W36" s="7" t="str">
        <f t="shared" si="3"/>
        <v/>
      </c>
    </row>
    <row r="37" spans="2:23" customFormat="1">
      <c r="B37" s="71"/>
      <c r="C37" s="71"/>
      <c r="D37" s="72"/>
      <c r="E37" s="12"/>
      <c r="F37" s="107"/>
      <c r="G37" s="11"/>
      <c r="H37" s="13"/>
      <c r="I37" s="14"/>
      <c r="J37" s="13"/>
      <c r="K37" s="10"/>
      <c r="L37" s="10"/>
      <c r="M37" s="7"/>
      <c r="N37" s="10"/>
      <c r="O37" s="1"/>
      <c r="P37" s="21"/>
      <c r="Q37" s="23" t="str">
        <f t="shared" si="2"/>
        <v/>
      </c>
      <c r="R37" s="7"/>
      <c r="S37" s="7"/>
      <c r="W37" s="7" t="str">
        <f t="shared" si="3"/>
        <v/>
      </c>
    </row>
    <row r="38" spans="2:23" customFormat="1">
      <c r="B38" s="71"/>
      <c r="C38" s="71"/>
      <c r="D38" s="72"/>
      <c r="E38" s="12"/>
      <c r="F38" s="107"/>
      <c r="G38" s="11"/>
      <c r="H38" s="13"/>
      <c r="I38" s="14"/>
      <c r="J38" s="13"/>
      <c r="K38" s="10"/>
      <c r="L38" s="10"/>
      <c r="M38" s="7"/>
      <c r="N38" s="10"/>
      <c r="O38" s="1"/>
      <c r="P38" s="21"/>
      <c r="Q38" s="23" t="str">
        <f t="shared" si="2"/>
        <v/>
      </c>
      <c r="R38" s="7"/>
      <c r="S38" s="7"/>
      <c r="W38" s="7" t="str">
        <f t="shared" si="3"/>
        <v/>
      </c>
    </row>
    <row r="39" spans="2:23" customFormat="1">
      <c r="B39" s="71"/>
      <c r="C39" s="71"/>
      <c r="D39" s="72"/>
      <c r="E39" s="12"/>
      <c r="F39" s="107"/>
      <c r="G39" s="11"/>
      <c r="H39" s="13"/>
      <c r="I39" s="14"/>
      <c r="J39" s="13"/>
      <c r="K39" s="10"/>
      <c r="L39" s="10"/>
      <c r="M39" s="7"/>
      <c r="N39" s="10"/>
      <c r="O39" s="1"/>
      <c r="P39" s="21"/>
      <c r="Q39" s="23" t="str">
        <f t="shared" si="2"/>
        <v/>
      </c>
      <c r="R39" s="7"/>
      <c r="S39" s="7"/>
      <c r="W39" s="7" t="str">
        <f t="shared" si="3"/>
        <v/>
      </c>
    </row>
    <row r="40" spans="2:23" customFormat="1">
      <c r="B40" s="71"/>
      <c r="C40" s="71"/>
      <c r="D40" s="72"/>
      <c r="E40" s="12"/>
      <c r="F40" s="107"/>
      <c r="G40" s="11"/>
      <c r="H40" s="13"/>
      <c r="I40" s="14"/>
      <c r="J40" s="13"/>
      <c r="K40" s="10"/>
      <c r="L40" s="10"/>
      <c r="M40" s="7"/>
      <c r="N40" s="10"/>
      <c r="O40" s="1"/>
      <c r="P40" s="21"/>
      <c r="Q40" s="23" t="str">
        <f t="shared" si="2"/>
        <v/>
      </c>
      <c r="R40" s="7"/>
      <c r="S40" s="7"/>
      <c r="W40" s="7" t="str">
        <f t="shared" si="3"/>
        <v/>
      </c>
    </row>
    <row r="41" spans="2:23" customFormat="1">
      <c r="B41" s="71"/>
      <c r="C41" s="71"/>
      <c r="D41" s="72"/>
      <c r="E41" s="12"/>
      <c r="F41" s="107"/>
      <c r="G41" s="11"/>
      <c r="H41" s="13"/>
      <c r="I41" s="14"/>
      <c r="J41" s="13"/>
      <c r="K41" s="10"/>
      <c r="L41" s="10"/>
      <c r="M41" s="7"/>
      <c r="N41" s="10"/>
      <c r="O41" s="1"/>
      <c r="P41" s="21"/>
      <c r="Q41" s="23" t="str">
        <f t="shared" si="2"/>
        <v/>
      </c>
      <c r="R41" s="7"/>
      <c r="S41" s="7"/>
      <c r="W41" s="7" t="str">
        <f t="shared" si="3"/>
        <v/>
      </c>
    </row>
    <row r="42" spans="2:23" customFormat="1">
      <c r="B42" s="71"/>
      <c r="C42" s="71"/>
      <c r="D42" s="72"/>
      <c r="E42" s="12"/>
      <c r="F42" s="107"/>
      <c r="G42" s="11"/>
      <c r="H42" s="13"/>
      <c r="I42" s="14"/>
      <c r="J42" s="13"/>
      <c r="K42" s="10"/>
      <c r="L42" s="10"/>
      <c r="M42" s="7"/>
      <c r="N42" s="10"/>
      <c r="O42" s="1"/>
      <c r="P42" s="21"/>
      <c r="Q42" s="23" t="str">
        <f t="shared" si="2"/>
        <v/>
      </c>
      <c r="R42" s="7"/>
      <c r="S42" s="7"/>
      <c r="W42" s="7" t="str">
        <f t="shared" si="3"/>
        <v/>
      </c>
    </row>
    <row r="43" spans="2:23" customFormat="1">
      <c r="B43" s="71"/>
      <c r="C43" s="71"/>
      <c r="D43" s="72"/>
      <c r="E43" s="12"/>
      <c r="F43" s="107"/>
      <c r="G43" s="11"/>
      <c r="H43" s="13"/>
      <c r="I43" s="14"/>
      <c r="J43" s="13"/>
      <c r="K43" s="10"/>
      <c r="L43" s="10"/>
      <c r="M43" s="7"/>
      <c r="N43" s="10"/>
      <c r="O43" s="1"/>
      <c r="P43" s="21"/>
      <c r="Q43" s="23" t="str">
        <f t="shared" si="2"/>
        <v/>
      </c>
      <c r="R43" s="7"/>
      <c r="S43" s="7"/>
      <c r="W43" s="7" t="str">
        <f t="shared" si="3"/>
        <v/>
      </c>
    </row>
    <row r="44" spans="2:23" customFormat="1">
      <c r="B44" s="71"/>
      <c r="C44" s="71"/>
      <c r="D44" s="72"/>
      <c r="E44" s="12"/>
      <c r="F44" s="107"/>
      <c r="G44" s="11"/>
      <c r="H44" s="13"/>
      <c r="I44" s="14"/>
      <c r="J44" s="13"/>
      <c r="K44" s="10"/>
      <c r="L44" s="10"/>
      <c r="M44" s="7"/>
      <c r="N44" s="10"/>
      <c r="O44" s="1"/>
      <c r="P44" s="21"/>
      <c r="Q44" s="23" t="str">
        <f t="shared" si="2"/>
        <v/>
      </c>
      <c r="R44" s="7"/>
      <c r="S44" s="7"/>
      <c r="W44" s="7" t="str">
        <f t="shared" si="3"/>
        <v/>
      </c>
    </row>
    <row r="45" spans="2:23" customFormat="1">
      <c r="B45" s="71"/>
      <c r="C45" s="71"/>
      <c r="D45" s="72"/>
      <c r="E45" s="12"/>
      <c r="F45" s="107"/>
      <c r="G45" s="11"/>
      <c r="H45" s="13"/>
      <c r="I45" s="14"/>
      <c r="J45" s="13"/>
      <c r="K45" s="10"/>
      <c r="L45" s="10"/>
      <c r="M45" s="7"/>
      <c r="N45" s="10"/>
      <c r="O45" s="1"/>
      <c r="P45" s="21"/>
      <c r="Q45" s="23" t="str">
        <f t="shared" si="2"/>
        <v/>
      </c>
      <c r="R45" s="7"/>
      <c r="S45" s="7"/>
      <c r="W45" s="7" t="str">
        <f t="shared" si="3"/>
        <v/>
      </c>
    </row>
    <row r="46" spans="2:23" customFormat="1">
      <c r="B46" s="71"/>
      <c r="C46" s="71"/>
      <c r="D46" s="72"/>
      <c r="E46" s="12"/>
      <c r="F46" s="107"/>
      <c r="G46" s="11"/>
      <c r="H46" s="13"/>
      <c r="I46" s="14"/>
      <c r="J46" s="13"/>
      <c r="K46" s="10"/>
      <c r="L46" s="10"/>
      <c r="M46" s="7"/>
      <c r="N46" s="10"/>
      <c r="O46" s="1"/>
      <c r="P46" s="21"/>
      <c r="Q46" s="23" t="str">
        <f t="shared" si="2"/>
        <v/>
      </c>
      <c r="R46" s="7"/>
      <c r="S46" s="7"/>
      <c r="W46" s="7" t="str">
        <f t="shared" si="3"/>
        <v/>
      </c>
    </row>
    <row r="47" spans="2:23" customFormat="1">
      <c r="B47" s="71"/>
      <c r="C47" s="71"/>
      <c r="D47" s="72"/>
      <c r="E47" s="12"/>
      <c r="F47" s="107"/>
      <c r="G47" s="11"/>
      <c r="H47" s="13"/>
      <c r="I47" s="14"/>
      <c r="J47" s="13"/>
      <c r="K47" s="10"/>
      <c r="L47" s="10"/>
      <c r="M47" s="7"/>
      <c r="N47" s="10"/>
      <c r="O47" s="1"/>
      <c r="P47" s="21"/>
      <c r="Q47" s="23" t="str">
        <f t="shared" si="2"/>
        <v/>
      </c>
      <c r="R47" s="7"/>
      <c r="S47" s="7"/>
      <c r="W47" s="7" t="str">
        <f t="shared" si="3"/>
        <v/>
      </c>
    </row>
    <row r="48" spans="2:23" customFormat="1">
      <c r="B48" s="71"/>
      <c r="C48" s="71"/>
      <c r="D48" s="72"/>
      <c r="E48" s="12"/>
      <c r="F48" s="107"/>
      <c r="G48" s="11"/>
      <c r="H48" s="13"/>
      <c r="I48" s="14"/>
      <c r="J48" s="13"/>
      <c r="K48" s="10"/>
      <c r="L48" s="10"/>
      <c r="M48" s="7"/>
      <c r="N48" s="10"/>
      <c r="O48" s="1"/>
      <c r="P48" s="21"/>
      <c r="Q48" s="23" t="str">
        <f t="shared" si="2"/>
        <v/>
      </c>
      <c r="R48" s="7"/>
      <c r="S48" s="7"/>
      <c r="W48" s="7" t="str">
        <f t="shared" si="3"/>
        <v/>
      </c>
    </row>
    <row r="49" spans="2:23" customFormat="1">
      <c r="B49" s="71"/>
      <c r="C49" s="71"/>
      <c r="D49" s="72"/>
      <c r="E49" s="12"/>
      <c r="F49" s="107"/>
      <c r="G49" s="11"/>
      <c r="H49" s="13"/>
      <c r="I49" s="14"/>
      <c r="J49" s="13"/>
      <c r="K49" s="10"/>
      <c r="L49" s="10"/>
      <c r="M49" s="7"/>
      <c r="N49" s="10"/>
      <c r="O49" s="1"/>
      <c r="P49" s="21"/>
      <c r="Q49" s="23" t="str">
        <f t="shared" si="2"/>
        <v/>
      </c>
      <c r="R49" s="7"/>
      <c r="S49" s="7"/>
      <c r="W49" s="7" t="str">
        <f t="shared" si="3"/>
        <v/>
      </c>
    </row>
    <row r="50" spans="2:23" customFormat="1">
      <c r="B50" s="71"/>
      <c r="C50" s="71"/>
      <c r="D50" s="72"/>
      <c r="E50" s="12"/>
      <c r="F50" s="107"/>
      <c r="G50" s="11"/>
      <c r="H50" s="13"/>
      <c r="I50" s="14"/>
      <c r="J50" s="13"/>
      <c r="K50" s="10"/>
      <c r="L50" s="10"/>
      <c r="M50" s="7"/>
      <c r="N50" s="10"/>
      <c r="O50" s="1"/>
      <c r="P50" s="21"/>
      <c r="Q50" s="23" t="str">
        <f t="shared" si="2"/>
        <v/>
      </c>
      <c r="R50" s="7"/>
      <c r="S50" s="7"/>
      <c r="W50" s="7" t="str">
        <f t="shared" si="3"/>
        <v/>
      </c>
    </row>
    <row r="51" spans="2:23" customFormat="1">
      <c r="B51" s="71"/>
      <c r="C51" s="71"/>
      <c r="D51" s="72"/>
      <c r="E51" s="12"/>
      <c r="F51" s="107"/>
      <c r="G51" s="11"/>
      <c r="H51" s="13"/>
      <c r="I51" s="14"/>
      <c r="J51" s="13"/>
      <c r="K51" s="10"/>
      <c r="L51" s="10"/>
      <c r="M51" s="7"/>
      <c r="N51" s="10"/>
      <c r="O51" s="1"/>
      <c r="P51" s="21"/>
      <c r="Q51" s="23" t="str">
        <f t="shared" si="2"/>
        <v/>
      </c>
      <c r="R51" s="7"/>
      <c r="S51" s="7"/>
      <c r="W51" s="7" t="str">
        <f t="shared" si="3"/>
        <v/>
      </c>
    </row>
    <row r="52" spans="2:23" customFormat="1">
      <c r="B52" s="71"/>
      <c r="C52" s="71"/>
      <c r="D52" s="72"/>
      <c r="E52" s="12"/>
      <c r="F52" s="107"/>
      <c r="G52" s="11"/>
      <c r="H52" s="13"/>
      <c r="I52" s="14"/>
      <c r="J52" s="13"/>
      <c r="K52" s="10"/>
      <c r="L52" s="10"/>
      <c r="M52" s="7"/>
      <c r="N52" s="10"/>
      <c r="O52" s="1"/>
      <c r="P52" s="21"/>
      <c r="Q52" s="23" t="str">
        <f t="shared" si="2"/>
        <v/>
      </c>
      <c r="R52" s="7"/>
      <c r="S52" s="7"/>
      <c r="W52" s="7" t="str">
        <f t="shared" si="3"/>
        <v/>
      </c>
    </row>
    <row r="53" spans="2:23" customFormat="1">
      <c r="B53" s="71"/>
      <c r="C53" s="71"/>
      <c r="D53" s="72"/>
      <c r="E53" s="12"/>
      <c r="F53" s="107"/>
      <c r="G53" s="11"/>
      <c r="H53" s="13"/>
      <c r="I53" s="14"/>
      <c r="J53" s="13"/>
      <c r="K53" s="10"/>
      <c r="L53" s="10"/>
      <c r="M53" s="7"/>
      <c r="N53" s="10"/>
      <c r="O53" s="1"/>
      <c r="P53" s="21"/>
      <c r="Q53" s="23" t="str">
        <f t="shared" si="2"/>
        <v/>
      </c>
      <c r="R53" s="7"/>
      <c r="S53" s="7"/>
      <c r="W53" s="7" t="str">
        <f t="shared" si="3"/>
        <v/>
      </c>
    </row>
    <row r="54" spans="2:23" customFormat="1">
      <c r="B54" s="71"/>
      <c r="C54" s="71"/>
      <c r="D54" s="72"/>
      <c r="E54" s="12"/>
      <c r="F54" s="107"/>
      <c r="G54" s="11"/>
      <c r="H54" s="13"/>
      <c r="I54" s="14"/>
      <c r="J54" s="13"/>
      <c r="K54" s="10"/>
      <c r="L54" s="10"/>
      <c r="M54" s="7"/>
      <c r="N54" s="10"/>
      <c r="O54" s="1"/>
      <c r="P54" s="21"/>
      <c r="Q54" s="23" t="str">
        <f t="shared" si="2"/>
        <v/>
      </c>
      <c r="R54" s="7"/>
      <c r="S54" s="7"/>
      <c r="W54" s="7" t="str">
        <f t="shared" si="3"/>
        <v/>
      </c>
    </row>
    <row r="55" spans="2:23" customFormat="1">
      <c r="B55" s="71"/>
      <c r="C55" s="71"/>
      <c r="D55" s="72"/>
      <c r="E55" s="12"/>
      <c r="F55" s="107"/>
      <c r="G55" s="11"/>
      <c r="H55" s="13"/>
      <c r="I55" s="14"/>
      <c r="J55" s="13"/>
      <c r="K55" s="10"/>
      <c r="L55" s="10"/>
      <c r="M55" s="7"/>
      <c r="N55" s="10"/>
      <c r="O55" s="1"/>
      <c r="P55" s="21"/>
      <c r="Q55" s="23" t="str">
        <f t="shared" si="2"/>
        <v/>
      </c>
      <c r="R55" s="7"/>
      <c r="S55" s="7"/>
      <c r="W55" s="7" t="str">
        <f t="shared" si="3"/>
        <v/>
      </c>
    </row>
    <row r="56" spans="2:23" customFormat="1">
      <c r="B56" s="71"/>
      <c r="C56" s="71"/>
      <c r="D56" s="72"/>
      <c r="E56" s="12"/>
      <c r="F56" s="107"/>
      <c r="G56" s="11"/>
      <c r="H56" s="13"/>
      <c r="I56" s="14"/>
      <c r="J56" s="13"/>
      <c r="K56" s="10"/>
      <c r="L56" s="10"/>
      <c r="M56" s="7"/>
      <c r="N56" s="10"/>
      <c r="O56" s="1"/>
      <c r="P56" s="21"/>
      <c r="Q56" s="23" t="str">
        <f t="shared" si="2"/>
        <v/>
      </c>
      <c r="R56" s="7"/>
      <c r="S56" s="7"/>
      <c r="W56" s="7" t="str">
        <f t="shared" si="3"/>
        <v/>
      </c>
    </row>
    <row r="57" spans="2:23" customFormat="1">
      <c r="B57" s="71"/>
      <c r="C57" s="71"/>
      <c r="D57" s="72"/>
      <c r="E57" s="12"/>
      <c r="F57" s="107"/>
      <c r="G57" s="11"/>
      <c r="H57" s="13"/>
      <c r="I57" s="14"/>
      <c r="J57" s="13"/>
      <c r="K57" s="10"/>
      <c r="L57" s="10"/>
      <c r="M57" s="7"/>
      <c r="N57" s="10"/>
      <c r="O57" s="1"/>
      <c r="P57" s="21"/>
      <c r="Q57" s="23" t="str">
        <f t="shared" si="2"/>
        <v/>
      </c>
      <c r="R57" s="7"/>
      <c r="S57" s="7"/>
      <c r="W57" s="7" t="str">
        <f t="shared" si="3"/>
        <v/>
      </c>
    </row>
    <row r="58" spans="2:23" customFormat="1">
      <c r="B58" s="71"/>
      <c r="C58" s="71"/>
      <c r="D58" s="72"/>
      <c r="E58" s="12"/>
      <c r="F58" s="107"/>
      <c r="G58" s="11"/>
      <c r="H58" s="13"/>
      <c r="I58" s="14"/>
      <c r="J58" s="13"/>
      <c r="K58" s="10"/>
      <c r="L58" s="10"/>
      <c r="M58" s="7"/>
      <c r="N58" s="10"/>
      <c r="O58" s="1"/>
      <c r="P58" s="21"/>
      <c r="Q58" s="23" t="str">
        <f t="shared" si="2"/>
        <v/>
      </c>
      <c r="R58" s="7"/>
      <c r="S58" s="7"/>
      <c r="W58" s="7" t="str">
        <f t="shared" si="3"/>
        <v/>
      </c>
    </row>
    <row r="59" spans="2:23" customFormat="1">
      <c r="B59" s="71"/>
      <c r="C59" s="71"/>
      <c r="D59" s="72"/>
      <c r="E59" s="12"/>
      <c r="F59" s="107"/>
      <c r="G59" s="11"/>
      <c r="H59" s="13"/>
      <c r="I59" s="14"/>
      <c r="J59" s="13"/>
      <c r="K59" s="10"/>
      <c r="L59" s="10"/>
      <c r="M59" s="7"/>
      <c r="N59" s="10"/>
      <c r="O59" s="1"/>
      <c r="P59" s="21"/>
      <c r="Q59" s="23" t="str">
        <f t="shared" si="2"/>
        <v/>
      </c>
      <c r="R59" s="7"/>
      <c r="S59" s="7"/>
      <c r="W59" s="7" t="str">
        <f t="shared" si="3"/>
        <v/>
      </c>
    </row>
    <row r="60" spans="2:23" customFormat="1">
      <c r="B60" s="71"/>
      <c r="C60" s="71"/>
      <c r="D60" s="72"/>
      <c r="E60" s="12"/>
      <c r="F60" s="107"/>
      <c r="G60" s="11"/>
      <c r="H60" s="13"/>
      <c r="I60" s="14"/>
      <c r="J60" s="13"/>
      <c r="K60" s="10"/>
      <c r="L60" s="10"/>
      <c r="M60" s="7"/>
      <c r="N60" s="10"/>
      <c r="O60" s="1"/>
      <c r="P60" s="21"/>
      <c r="Q60" s="23" t="str">
        <f t="shared" si="2"/>
        <v/>
      </c>
      <c r="R60" s="7"/>
      <c r="S60" s="7"/>
      <c r="W60" s="7" t="str">
        <f t="shared" si="3"/>
        <v/>
      </c>
    </row>
    <row r="61" spans="2:23" customFormat="1">
      <c r="B61" s="71"/>
      <c r="C61" s="71"/>
      <c r="D61" s="72"/>
      <c r="E61" s="12"/>
      <c r="F61" s="107"/>
      <c r="G61" s="11"/>
      <c r="H61" s="13"/>
      <c r="I61" s="14"/>
      <c r="J61" s="13"/>
      <c r="K61" s="10"/>
      <c r="L61" s="10"/>
      <c r="M61" s="7"/>
      <c r="N61" s="10"/>
      <c r="O61" s="1"/>
      <c r="P61" s="21"/>
      <c r="Q61" s="23" t="str">
        <f t="shared" si="2"/>
        <v/>
      </c>
      <c r="R61" s="7"/>
      <c r="S61" s="7"/>
      <c r="W61" s="7" t="str">
        <f t="shared" si="3"/>
        <v/>
      </c>
    </row>
    <row r="62" spans="2:23" customFormat="1">
      <c r="B62" s="71"/>
      <c r="C62" s="71"/>
      <c r="D62" s="72"/>
      <c r="E62" s="12"/>
      <c r="F62" s="107"/>
      <c r="G62" s="11"/>
      <c r="H62" s="13"/>
      <c r="I62" s="14"/>
      <c r="J62" s="13"/>
      <c r="K62" s="10"/>
      <c r="L62" s="10"/>
      <c r="M62" s="7"/>
      <c r="N62" s="10"/>
      <c r="O62" s="1"/>
      <c r="P62" s="21"/>
      <c r="Q62" s="23" t="str">
        <f t="shared" si="2"/>
        <v/>
      </c>
      <c r="R62" s="7"/>
      <c r="S62" s="7"/>
      <c r="W62" s="7" t="str">
        <f t="shared" si="3"/>
        <v/>
      </c>
    </row>
    <row r="63" spans="2:23" customFormat="1">
      <c r="B63" s="71"/>
      <c r="C63" s="71"/>
      <c r="D63" s="72"/>
      <c r="E63" s="12"/>
      <c r="F63" s="107"/>
      <c r="G63" s="11"/>
      <c r="H63" s="13"/>
      <c r="I63" s="14"/>
      <c r="J63" s="13"/>
      <c r="K63" s="10"/>
      <c r="L63" s="10"/>
      <c r="M63" s="7"/>
      <c r="N63" s="10"/>
      <c r="O63" s="1"/>
      <c r="P63" s="21"/>
      <c r="Q63" s="23" t="str">
        <f t="shared" si="2"/>
        <v/>
      </c>
      <c r="R63" s="7"/>
      <c r="S63" s="7"/>
      <c r="W63" s="7" t="str">
        <f t="shared" si="3"/>
        <v/>
      </c>
    </row>
    <row r="64" spans="2:23" customFormat="1">
      <c r="B64" s="71"/>
      <c r="C64" s="71"/>
      <c r="D64" s="72"/>
      <c r="E64" s="12"/>
      <c r="F64" s="107"/>
      <c r="G64" s="11"/>
      <c r="H64" s="13"/>
      <c r="I64" s="14"/>
      <c r="J64" s="13"/>
      <c r="K64" s="10"/>
      <c r="L64" s="10"/>
      <c r="M64" s="7"/>
      <c r="N64" s="10"/>
      <c r="O64" s="1"/>
      <c r="P64" s="21"/>
      <c r="Q64" s="23" t="str">
        <f t="shared" si="2"/>
        <v/>
      </c>
      <c r="R64" s="7"/>
      <c r="S64" s="7"/>
      <c r="W64" s="7" t="str">
        <f t="shared" si="3"/>
        <v/>
      </c>
    </row>
    <row r="65" spans="2:23" customFormat="1">
      <c r="B65" s="71"/>
      <c r="C65" s="71"/>
      <c r="D65" s="72"/>
      <c r="E65" s="12"/>
      <c r="F65" s="107"/>
      <c r="G65" s="11"/>
      <c r="H65" s="13"/>
      <c r="I65" s="14"/>
      <c r="J65" s="13"/>
      <c r="K65" s="10"/>
      <c r="L65" s="10"/>
      <c r="M65" s="7"/>
      <c r="N65" s="10"/>
      <c r="O65" s="1"/>
      <c r="P65" s="21"/>
      <c r="Q65" s="23" t="str">
        <f t="shared" si="2"/>
        <v/>
      </c>
      <c r="R65" s="7"/>
      <c r="S65" s="7"/>
      <c r="W65" s="7" t="str">
        <f t="shared" si="3"/>
        <v/>
      </c>
    </row>
    <row r="66" spans="2:23" customFormat="1">
      <c r="B66" s="71"/>
      <c r="C66" s="71"/>
      <c r="D66" s="72"/>
      <c r="E66" s="12"/>
      <c r="F66" s="107"/>
      <c r="G66" s="11"/>
      <c r="H66" s="13"/>
      <c r="I66" s="14"/>
      <c r="J66" s="13"/>
      <c r="K66" s="10"/>
      <c r="L66" s="10"/>
      <c r="M66" s="7"/>
      <c r="N66" s="10"/>
      <c r="O66" s="1"/>
      <c r="P66" s="21"/>
      <c r="Q66" s="23" t="str">
        <f t="shared" si="2"/>
        <v/>
      </c>
      <c r="R66" s="7"/>
      <c r="S66" s="7"/>
      <c r="W66" s="7" t="str">
        <f t="shared" si="3"/>
        <v/>
      </c>
    </row>
    <row r="67" spans="2:23" customFormat="1">
      <c r="B67" s="71"/>
      <c r="C67" s="71"/>
      <c r="D67" s="72"/>
      <c r="E67" s="12"/>
      <c r="F67" s="107"/>
      <c r="G67" s="11"/>
      <c r="H67" s="13"/>
      <c r="I67" s="14"/>
      <c r="J67" s="13"/>
      <c r="K67" s="10"/>
      <c r="L67" s="10"/>
      <c r="M67" s="7"/>
      <c r="N67" s="10"/>
      <c r="O67" s="1"/>
      <c r="P67" s="21"/>
      <c r="Q67" s="23" t="str">
        <f t="shared" si="2"/>
        <v/>
      </c>
      <c r="R67" s="7"/>
      <c r="S67" s="7"/>
      <c r="W67" s="7" t="str">
        <f t="shared" si="3"/>
        <v/>
      </c>
    </row>
    <row r="68" spans="2:23" customFormat="1">
      <c r="B68" s="71"/>
      <c r="C68" s="71"/>
      <c r="D68" s="72"/>
      <c r="E68" s="12"/>
      <c r="F68" s="107"/>
      <c r="G68" s="11"/>
      <c r="H68" s="13"/>
      <c r="I68" s="14"/>
      <c r="J68" s="13"/>
      <c r="K68" s="10"/>
      <c r="L68" s="10"/>
      <c r="M68" s="7"/>
      <c r="N68" s="10"/>
      <c r="O68" s="1"/>
      <c r="P68" s="21"/>
      <c r="Q68" s="23" t="str">
        <f t="shared" si="2"/>
        <v/>
      </c>
      <c r="R68" s="7"/>
      <c r="S68" s="7"/>
      <c r="W68" s="7" t="str">
        <f t="shared" si="3"/>
        <v/>
      </c>
    </row>
    <row r="69" spans="2:23" customFormat="1">
      <c r="B69" s="71"/>
      <c r="C69" s="71"/>
      <c r="D69" s="72"/>
      <c r="E69" s="12"/>
      <c r="F69" s="107"/>
      <c r="G69" s="11"/>
      <c r="H69" s="13"/>
      <c r="I69" s="14"/>
      <c r="J69" s="13"/>
      <c r="K69" s="10"/>
      <c r="L69" s="10"/>
      <c r="M69" s="7"/>
      <c r="N69" s="10"/>
      <c r="O69" s="1"/>
      <c r="P69" s="21"/>
      <c r="Q69" s="23" t="str">
        <f t="shared" si="2"/>
        <v/>
      </c>
      <c r="R69" s="7"/>
      <c r="S69" s="7"/>
      <c r="W69" s="7" t="str">
        <f t="shared" si="3"/>
        <v/>
      </c>
    </row>
    <row r="70" spans="2:23" customFormat="1">
      <c r="B70" s="71"/>
      <c r="C70" s="71"/>
      <c r="D70" s="72"/>
      <c r="E70" s="12"/>
      <c r="F70" s="107"/>
      <c r="G70" s="11"/>
      <c r="H70" s="13"/>
      <c r="I70" s="14"/>
      <c r="J70" s="13"/>
      <c r="K70" s="10"/>
      <c r="L70" s="10"/>
      <c r="M70" s="7"/>
      <c r="N70" s="10"/>
      <c r="O70" s="1"/>
      <c r="P70" s="21"/>
      <c r="Q70" s="23" t="str">
        <f t="shared" si="2"/>
        <v/>
      </c>
      <c r="R70" s="7"/>
      <c r="S70" s="7"/>
      <c r="W70" s="7" t="str">
        <f t="shared" si="3"/>
        <v/>
      </c>
    </row>
    <row r="71" spans="2:23" customFormat="1">
      <c r="B71" s="71"/>
      <c r="C71" s="71"/>
      <c r="D71" s="72"/>
      <c r="E71" s="12"/>
      <c r="F71" s="107"/>
      <c r="G71" s="11"/>
      <c r="H71" s="13"/>
      <c r="I71" s="14"/>
      <c r="J71" s="13"/>
      <c r="K71" s="10"/>
      <c r="L71" s="10"/>
      <c r="M71" s="7"/>
      <c r="N71" s="10"/>
      <c r="O71" s="1"/>
      <c r="P71" s="21"/>
      <c r="Q71" s="23" t="str">
        <f t="shared" si="2"/>
        <v/>
      </c>
      <c r="R71" s="7"/>
      <c r="S71" s="7"/>
      <c r="W71" s="7" t="str">
        <f t="shared" si="3"/>
        <v/>
      </c>
    </row>
    <row r="72" spans="2:23" customFormat="1">
      <c r="B72" s="71"/>
      <c r="C72" s="71"/>
      <c r="D72" s="72"/>
      <c r="E72" s="12"/>
      <c r="F72" s="107"/>
      <c r="G72" s="11"/>
      <c r="H72" s="13"/>
      <c r="I72" s="14"/>
      <c r="J72" s="13"/>
      <c r="K72" s="10"/>
      <c r="L72" s="10"/>
      <c r="M72" s="7"/>
      <c r="N72" s="10"/>
      <c r="O72" s="1"/>
      <c r="P72" s="21"/>
      <c r="Q72" s="23" t="str">
        <f t="shared" si="2"/>
        <v/>
      </c>
      <c r="R72" s="7"/>
      <c r="S72" s="7"/>
      <c r="W72" s="7" t="str">
        <f t="shared" si="3"/>
        <v/>
      </c>
    </row>
    <row r="73" spans="2:23" customFormat="1">
      <c r="B73" s="71"/>
      <c r="C73" s="71"/>
      <c r="D73" s="72"/>
      <c r="E73" s="12"/>
      <c r="F73" s="107"/>
      <c r="G73" s="11"/>
      <c r="H73" s="13"/>
      <c r="I73" s="14"/>
      <c r="J73" s="13"/>
      <c r="K73" s="10"/>
      <c r="L73" s="10"/>
      <c r="M73" s="7"/>
      <c r="N73" s="10"/>
      <c r="O73" s="1"/>
      <c r="P73" s="21"/>
      <c r="Q73" s="23" t="str">
        <f t="shared" si="2"/>
        <v/>
      </c>
      <c r="R73" s="7"/>
      <c r="S73" s="7"/>
      <c r="W73" s="7" t="str">
        <f t="shared" si="3"/>
        <v/>
      </c>
    </row>
    <row r="74" spans="2:23" customFormat="1">
      <c r="B74" s="71"/>
      <c r="C74" s="71"/>
      <c r="D74" s="72"/>
      <c r="E74" s="12"/>
      <c r="F74" s="107"/>
      <c r="G74" s="11"/>
      <c r="H74" s="13"/>
      <c r="I74" s="14"/>
      <c r="J74" s="13"/>
      <c r="K74" s="10"/>
      <c r="L74" s="10"/>
      <c r="M74" s="7"/>
      <c r="N74" s="10"/>
      <c r="O74" s="1"/>
      <c r="P74" s="21"/>
      <c r="Q74" s="23" t="str">
        <f t="shared" si="2"/>
        <v/>
      </c>
      <c r="R74" s="7"/>
      <c r="S74" s="7"/>
      <c r="W74" s="7" t="str">
        <f t="shared" si="3"/>
        <v/>
      </c>
    </row>
    <row r="75" spans="2:23" customFormat="1">
      <c r="B75" s="71"/>
      <c r="C75" s="71"/>
      <c r="D75" s="72"/>
      <c r="E75" s="12"/>
      <c r="F75" s="107"/>
      <c r="G75" s="11"/>
      <c r="H75" s="13"/>
      <c r="I75" s="14"/>
      <c r="J75" s="13"/>
      <c r="K75" s="10"/>
      <c r="L75" s="10"/>
      <c r="M75" s="7"/>
      <c r="N75" s="10"/>
      <c r="O75" s="1"/>
      <c r="P75" s="21"/>
      <c r="Q75" s="23" t="str">
        <f t="shared" si="2"/>
        <v/>
      </c>
      <c r="R75" s="7"/>
      <c r="S75" s="7"/>
      <c r="W75" s="7" t="str">
        <f t="shared" si="3"/>
        <v/>
      </c>
    </row>
    <row r="76" spans="2:23" customFormat="1">
      <c r="B76" s="71"/>
      <c r="C76" s="71"/>
      <c r="D76" s="72"/>
      <c r="E76" s="12"/>
      <c r="F76" s="107"/>
      <c r="G76" s="11"/>
      <c r="H76" s="13"/>
      <c r="I76" s="14"/>
      <c r="J76" s="13"/>
      <c r="K76" s="10"/>
      <c r="L76" s="10"/>
      <c r="M76" s="7"/>
      <c r="N76" s="10"/>
      <c r="O76" s="1"/>
      <c r="P76" s="21"/>
      <c r="Q76" s="23" t="str">
        <f t="shared" si="2"/>
        <v/>
      </c>
      <c r="R76" s="7"/>
      <c r="S76" s="7"/>
      <c r="W76" s="7" t="str">
        <f t="shared" si="3"/>
        <v/>
      </c>
    </row>
    <row r="77" spans="2:23" customFormat="1">
      <c r="B77" s="71"/>
      <c r="C77" s="71"/>
      <c r="D77" s="72"/>
      <c r="E77" s="12"/>
      <c r="F77" s="107"/>
      <c r="G77" s="11"/>
      <c r="H77" s="13"/>
      <c r="I77" s="14"/>
      <c r="J77" s="13"/>
      <c r="K77" s="10"/>
      <c r="L77" s="10"/>
      <c r="M77" s="7"/>
      <c r="N77" s="10"/>
      <c r="O77" s="1"/>
      <c r="P77" s="21"/>
      <c r="Q77" s="23" t="str">
        <f t="shared" si="2"/>
        <v/>
      </c>
      <c r="R77" s="7"/>
      <c r="S77" s="7"/>
      <c r="W77" s="7" t="str">
        <f t="shared" si="3"/>
        <v/>
      </c>
    </row>
    <row r="78" spans="2:23" customFormat="1">
      <c r="B78" s="71"/>
      <c r="C78" s="71"/>
      <c r="D78" s="72"/>
      <c r="E78" s="12"/>
      <c r="F78" s="107"/>
      <c r="G78" s="11"/>
      <c r="H78" s="13"/>
      <c r="I78" s="14"/>
      <c r="J78" s="13"/>
      <c r="K78" s="10"/>
      <c r="L78" s="10"/>
      <c r="M78" s="7"/>
      <c r="N78" s="10"/>
      <c r="O78" s="1"/>
      <c r="P78" s="21"/>
      <c r="Q78" s="23" t="str">
        <f t="shared" si="2"/>
        <v/>
      </c>
      <c r="R78" s="7"/>
      <c r="S78" s="7"/>
      <c r="W78" s="7" t="str">
        <f t="shared" si="3"/>
        <v/>
      </c>
    </row>
    <row r="79" spans="2:23" customFormat="1">
      <c r="B79" s="71"/>
      <c r="C79" s="71"/>
      <c r="D79" s="72"/>
      <c r="E79" s="12"/>
      <c r="F79" s="107"/>
      <c r="G79" s="11"/>
      <c r="H79" s="13"/>
      <c r="I79" s="14"/>
      <c r="J79" s="13"/>
      <c r="K79" s="10"/>
      <c r="L79" s="10"/>
      <c r="M79" s="7"/>
      <c r="N79" s="10"/>
      <c r="O79" s="1"/>
      <c r="P79" s="21"/>
      <c r="Q79" s="23" t="str">
        <f t="shared" si="2"/>
        <v/>
      </c>
      <c r="R79" s="7"/>
      <c r="S79" s="7"/>
      <c r="W79" s="7" t="str">
        <f t="shared" si="3"/>
        <v/>
      </c>
    </row>
    <row r="80" spans="2:23" customFormat="1">
      <c r="B80" s="71"/>
      <c r="C80" s="71"/>
      <c r="D80" s="72"/>
      <c r="E80" s="12"/>
      <c r="F80" s="107"/>
      <c r="G80" s="11"/>
      <c r="H80" s="13"/>
      <c r="I80" s="14"/>
      <c r="J80" s="13"/>
      <c r="K80" s="10"/>
      <c r="L80" s="10"/>
      <c r="M80" s="7"/>
      <c r="N80" s="10"/>
      <c r="O80" s="1"/>
      <c r="P80" s="21"/>
      <c r="Q80" s="23" t="str">
        <f t="shared" si="2"/>
        <v/>
      </c>
      <c r="R80" s="7"/>
      <c r="S80" s="7"/>
      <c r="W80" s="7" t="str">
        <f t="shared" si="3"/>
        <v/>
      </c>
    </row>
    <row r="81" spans="2:23" customFormat="1">
      <c r="B81" s="71"/>
      <c r="C81" s="71"/>
      <c r="D81" s="72"/>
      <c r="E81" s="12"/>
      <c r="F81" s="107"/>
      <c r="G81" s="11"/>
      <c r="H81" s="13"/>
      <c r="I81" s="14"/>
      <c r="J81" s="13"/>
      <c r="K81" s="10"/>
      <c r="L81" s="10"/>
      <c r="M81" s="7"/>
      <c r="N81" s="10"/>
      <c r="O81" s="1"/>
      <c r="P81" s="21"/>
      <c r="Q81" s="23" t="str">
        <f t="shared" si="2"/>
        <v/>
      </c>
      <c r="R81" s="7"/>
      <c r="S81" s="7"/>
      <c r="W81" s="7" t="str">
        <f t="shared" si="3"/>
        <v/>
      </c>
    </row>
    <row r="82" spans="2:23" customFormat="1">
      <c r="B82" s="71"/>
      <c r="C82" s="71"/>
      <c r="D82" s="72"/>
      <c r="E82" s="12"/>
      <c r="F82" s="107"/>
      <c r="G82" s="11"/>
      <c r="H82" s="13"/>
      <c r="I82" s="14"/>
      <c r="J82" s="13"/>
      <c r="K82" s="10"/>
      <c r="L82" s="10"/>
      <c r="M82" s="7"/>
      <c r="N82" s="10"/>
      <c r="O82" s="1"/>
      <c r="P82" s="21"/>
      <c r="Q82" s="23" t="str">
        <f t="shared" si="2"/>
        <v/>
      </c>
      <c r="R82" s="7"/>
      <c r="S82" s="7"/>
      <c r="W82" s="7" t="str">
        <f t="shared" si="3"/>
        <v/>
      </c>
    </row>
    <row r="83" spans="2:23" customFormat="1">
      <c r="B83" s="71"/>
      <c r="C83" s="71"/>
      <c r="D83" s="72"/>
      <c r="E83" s="12"/>
      <c r="F83" s="107"/>
      <c r="G83" s="11"/>
      <c r="H83" s="13"/>
      <c r="I83" s="14"/>
      <c r="J83" s="13"/>
      <c r="K83" s="10"/>
      <c r="L83" s="10"/>
      <c r="M83" s="7"/>
      <c r="N83" s="10"/>
      <c r="O83" s="1"/>
      <c r="P83" s="21"/>
      <c r="Q83" s="23" t="str">
        <f t="shared" si="2"/>
        <v/>
      </c>
      <c r="R83" s="7"/>
      <c r="S83" s="7"/>
      <c r="W83" s="7" t="str">
        <f t="shared" si="3"/>
        <v/>
      </c>
    </row>
    <row r="84" spans="2:23" customFormat="1">
      <c r="B84" s="71"/>
      <c r="C84" s="71"/>
      <c r="D84" s="72"/>
      <c r="E84" s="12"/>
      <c r="F84" s="107"/>
      <c r="G84" s="11"/>
      <c r="H84" s="13"/>
      <c r="I84" s="14"/>
      <c r="J84" s="13"/>
      <c r="K84" s="10"/>
      <c r="L84" s="10"/>
      <c r="M84" s="7"/>
      <c r="N84" s="10"/>
      <c r="O84" s="1"/>
      <c r="P84" s="21"/>
      <c r="Q84" s="23" t="str">
        <f t="shared" si="2"/>
        <v/>
      </c>
      <c r="R84" s="7"/>
      <c r="S84" s="7"/>
      <c r="W84" s="7" t="str">
        <f t="shared" si="3"/>
        <v/>
      </c>
    </row>
    <row r="85" spans="2:23" customFormat="1">
      <c r="B85" s="71"/>
      <c r="C85" s="71"/>
      <c r="D85" s="72"/>
      <c r="E85" s="12"/>
      <c r="F85" s="107"/>
      <c r="G85" s="11"/>
      <c r="H85" s="13"/>
      <c r="I85" s="14"/>
      <c r="J85" s="13"/>
      <c r="K85" s="10"/>
      <c r="L85" s="10"/>
      <c r="M85" s="7"/>
      <c r="N85" s="10"/>
      <c r="O85" s="1"/>
      <c r="P85" s="21"/>
      <c r="Q85" s="23" t="str">
        <f t="shared" si="2"/>
        <v/>
      </c>
      <c r="R85" s="7"/>
      <c r="S85" s="7"/>
      <c r="W85" s="7" t="str">
        <f t="shared" si="3"/>
        <v/>
      </c>
    </row>
    <row r="86" spans="2:23" customFormat="1">
      <c r="B86" s="71"/>
      <c r="C86" s="71"/>
      <c r="D86" s="72"/>
      <c r="E86" s="12"/>
      <c r="F86" s="107"/>
      <c r="G86" s="11"/>
      <c r="H86" s="13"/>
      <c r="I86" s="14"/>
      <c r="J86" s="13"/>
      <c r="K86" s="10"/>
      <c r="L86" s="10"/>
      <c r="M86" s="7"/>
      <c r="N86" s="10"/>
      <c r="O86" s="1"/>
      <c r="P86" s="21"/>
      <c r="Q86" s="23" t="str">
        <f t="shared" si="2"/>
        <v/>
      </c>
      <c r="R86" s="7"/>
      <c r="S86" s="7"/>
      <c r="W86" s="7" t="str">
        <f t="shared" si="3"/>
        <v/>
      </c>
    </row>
    <row r="87" spans="2:23" customFormat="1">
      <c r="B87" s="71"/>
      <c r="C87" s="71"/>
      <c r="D87" s="72"/>
      <c r="E87" s="12"/>
      <c r="F87" s="107"/>
      <c r="G87" s="11"/>
      <c r="H87" s="13"/>
      <c r="I87" s="14"/>
      <c r="J87" s="13"/>
      <c r="K87" s="10"/>
      <c r="L87" s="10"/>
      <c r="M87" s="7"/>
      <c r="N87" s="10"/>
      <c r="O87" s="1"/>
      <c r="P87" s="21"/>
      <c r="Q87" s="23" t="str">
        <f t="shared" ref="Q87:Q150" si="4">IF(P87="Exemplary", "None; meets or exceeds all minimum requirements.",IF(P87="Strong", "Minor gaps in execution or periodic review; improvement needed.",IF(P87="Developing", "Partial compliance; gaps in documentation, roles, or execution.",IF(P87="Emerging", "Informal or incomplete implementation; missing formal documents or procedures.",IF(P87="Critical", "Control not initiated; no documentation or designation.","")))))</f>
        <v/>
      </c>
      <c r="R87" s="7"/>
      <c r="S87" s="7"/>
      <c r="W87" s="7" t="str">
        <f t="shared" si="3"/>
        <v/>
      </c>
    </row>
    <row r="88" spans="2:23" customFormat="1">
      <c r="B88" s="71"/>
      <c r="C88" s="71"/>
      <c r="D88" s="72"/>
      <c r="E88" s="12"/>
      <c r="F88" s="107"/>
      <c r="G88" s="11"/>
      <c r="H88" s="13"/>
      <c r="I88" s="14"/>
      <c r="J88" s="13"/>
      <c r="K88" s="10"/>
      <c r="L88" s="10"/>
      <c r="M88" s="7"/>
      <c r="N88" s="10"/>
      <c r="O88" s="1"/>
      <c r="P88" s="21"/>
      <c r="Q88" s="23" t="str">
        <f t="shared" si="4"/>
        <v/>
      </c>
      <c r="R88" s="7"/>
      <c r="S88" s="7"/>
      <c r="W88" s="7" t="str">
        <f t="shared" ref="W88:W151" si="5">IFERROR(VALUE(MID(P88,7,1)),"")</f>
        <v/>
      </c>
    </row>
    <row r="89" spans="2:23" customFormat="1">
      <c r="B89" s="71"/>
      <c r="C89" s="71"/>
      <c r="D89" s="72"/>
      <c r="E89" s="12"/>
      <c r="F89" s="107"/>
      <c r="G89" s="11"/>
      <c r="H89" s="13"/>
      <c r="I89" s="14"/>
      <c r="J89" s="13"/>
      <c r="K89" s="10"/>
      <c r="L89" s="10"/>
      <c r="M89" s="7"/>
      <c r="N89" s="10"/>
      <c r="O89" s="1"/>
      <c r="P89" s="21"/>
      <c r="Q89" s="23" t="str">
        <f t="shared" si="4"/>
        <v/>
      </c>
      <c r="R89" s="7"/>
      <c r="S89" s="7"/>
      <c r="W89" s="7" t="str">
        <f t="shared" si="5"/>
        <v/>
      </c>
    </row>
    <row r="90" spans="2:23" customFormat="1">
      <c r="B90" s="71"/>
      <c r="C90" s="71"/>
      <c r="D90" s="72"/>
      <c r="E90" s="12"/>
      <c r="F90" s="107"/>
      <c r="G90" s="11"/>
      <c r="H90" s="13"/>
      <c r="I90" s="14"/>
      <c r="J90" s="13"/>
      <c r="K90" s="10"/>
      <c r="L90" s="10"/>
      <c r="M90" s="7"/>
      <c r="N90" s="10"/>
      <c r="O90" s="1"/>
      <c r="P90" s="21"/>
      <c r="Q90" s="23" t="str">
        <f t="shared" si="4"/>
        <v/>
      </c>
      <c r="R90" s="7"/>
      <c r="S90" s="7"/>
      <c r="W90" s="7" t="str">
        <f t="shared" si="5"/>
        <v/>
      </c>
    </row>
    <row r="91" spans="2:23" customFormat="1">
      <c r="B91" s="71"/>
      <c r="C91" s="71"/>
      <c r="D91" s="72"/>
      <c r="E91" s="12"/>
      <c r="F91" s="107"/>
      <c r="G91" s="11"/>
      <c r="H91" s="13"/>
      <c r="I91" s="14"/>
      <c r="J91" s="13"/>
      <c r="K91" s="10"/>
      <c r="L91" s="10"/>
      <c r="M91" s="7"/>
      <c r="N91" s="10"/>
      <c r="O91" s="1"/>
      <c r="P91" s="21"/>
      <c r="Q91" s="23" t="str">
        <f t="shared" si="4"/>
        <v/>
      </c>
      <c r="R91" s="7"/>
      <c r="S91" s="7"/>
      <c r="W91" s="7" t="str">
        <f t="shared" si="5"/>
        <v/>
      </c>
    </row>
    <row r="92" spans="2:23" customFormat="1">
      <c r="B92" s="71"/>
      <c r="C92" s="71"/>
      <c r="D92" s="72"/>
      <c r="E92" s="12"/>
      <c r="F92" s="107"/>
      <c r="G92" s="11"/>
      <c r="H92" s="13"/>
      <c r="I92" s="14"/>
      <c r="J92" s="13"/>
      <c r="K92" s="10"/>
      <c r="L92" s="10"/>
      <c r="M92" s="7"/>
      <c r="N92" s="10"/>
      <c r="O92" s="1"/>
      <c r="P92" s="21"/>
      <c r="Q92" s="23" t="str">
        <f t="shared" si="4"/>
        <v/>
      </c>
      <c r="R92" s="7"/>
      <c r="S92" s="7"/>
      <c r="W92" s="7" t="str">
        <f t="shared" si="5"/>
        <v/>
      </c>
    </row>
    <row r="93" spans="2:23" customFormat="1">
      <c r="B93" s="71"/>
      <c r="C93" s="71"/>
      <c r="D93" s="72"/>
      <c r="E93" s="12"/>
      <c r="F93" s="107"/>
      <c r="G93" s="11"/>
      <c r="H93" s="13"/>
      <c r="I93" s="14"/>
      <c r="J93" s="13"/>
      <c r="K93" s="10"/>
      <c r="L93" s="10"/>
      <c r="M93" s="7"/>
      <c r="N93" s="10"/>
      <c r="O93" s="1"/>
      <c r="P93" s="21"/>
      <c r="Q93" s="23" t="str">
        <f t="shared" si="4"/>
        <v/>
      </c>
      <c r="R93" s="7"/>
      <c r="S93" s="7"/>
      <c r="W93" s="7" t="str">
        <f t="shared" si="5"/>
        <v/>
      </c>
    </row>
    <row r="94" spans="2:23" customFormat="1">
      <c r="B94" s="71"/>
      <c r="C94" s="71"/>
      <c r="D94" s="72"/>
      <c r="E94" s="12"/>
      <c r="F94" s="107"/>
      <c r="G94" s="11"/>
      <c r="H94" s="13"/>
      <c r="I94" s="14"/>
      <c r="J94" s="13"/>
      <c r="K94" s="10"/>
      <c r="L94" s="10"/>
      <c r="M94" s="7"/>
      <c r="N94" s="10"/>
      <c r="O94" s="1"/>
      <c r="P94" s="21"/>
      <c r="Q94" s="23" t="str">
        <f t="shared" si="4"/>
        <v/>
      </c>
      <c r="R94" s="7"/>
      <c r="S94" s="7"/>
      <c r="W94" s="7" t="str">
        <f t="shared" si="5"/>
        <v/>
      </c>
    </row>
    <row r="95" spans="2:23" customFormat="1">
      <c r="B95" s="71"/>
      <c r="C95" s="71"/>
      <c r="D95" s="72"/>
      <c r="E95" s="12"/>
      <c r="F95" s="107"/>
      <c r="G95" s="11"/>
      <c r="H95" s="13"/>
      <c r="I95" s="14"/>
      <c r="J95" s="13"/>
      <c r="K95" s="10"/>
      <c r="L95" s="10"/>
      <c r="M95" s="7"/>
      <c r="N95" s="10"/>
      <c r="O95" s="1"/>
      <c r="P95" s="21"/>
      <c r="Q95" s="23" t="str">
        <f t="shared" si="4"/>
        <v/>
      </c>
      <c r="R95" s="7"/>
      <c r="S95" s="7"/>
      <c r="W95" s="7" t="str">
        <f t="shared" si="5"/>
        <v/>
      </c>
    </row>
    <row r="96" spans="2:23" customFormat="1">
      <c r="B96" s="71"/>
      <c r="C96" s="71"/>
      <c r="D96" s="72"/>
      <c r="E96" s="12"/>
      <c r="F96" s="107"/>
      <c r="G96" s="11"/>
      <c r="H96" s="13"/>
      <c r="I96" s="14"/>
      <c r="J96" s="13"/>
      <c r="K96" s="10"/>
      <c r="L96" s="10"/>
      <c r="M96" s="7"/>
      <c r="N96" s="10"/>
      <c r="O96" s="1"/>
      <c r="P96" s="21"/>
      <c r="Q96" s="23" t="str">
        <f t="shared" si="4"/>
        <v/>
      </c>
      <c r="R96" s="7"/>
      <c r="S96" s="7"/>
      <c r="W96" s="7" t="str">
        <f t="shared" si="5"/>
        <v/>
      </c>
    </row>
    <row r="97" spans="2:23" customFormat="1">
      <c r="B97" s="71"/>
      <c r="C97" s="71"/>
      <c r="D97" s="72"/>
      <c r="E97" s="12"/>
      <c r="F97" s="107"/>
      <c r="G97" s="11"/>
      <c r="H97" s="13"/>
      <c r="I97" s="14"/>
      <c r="J97" s="13"/>
      <c r="K97" s="10"/>
      <c r="L97" s="10"/>
      <c r="M97" s="7"/>
      <c r="N97" s="10"/>
      <c r="O97" s="1"/>
      <c r="P97" s="21"/>
      <c r="Q97" s="23" t="str">
        <f t="shared" si="4"/>
        <v/>
      </c>
      <c r="R97" s="7"/>
      <c r="S97" s="7"/>
      <c r="W97" s="7" t="str">
        <f t="shared" si="5"/>
        <v/>
      </c>
    </row>
    <row r="98" spans="2:23" customFormat="1">
      <c r="B98" s="71"/>
      <c r="C98" s="71"/>
      <c r="D98" s="72"/>
      <c r="E98" s="12"/>
      <c r="F98" s="107"/>
      <c r="G98" s="11"/>
      <c r="H98" s="13"/>
      <c r="I98" s="14"/>
      <c r="J98" s="13"/>
      <c r="K98" s="10"/>
      <c r="L98" s="10"/>
      <c r="M98" s="7"/>
      <c r="N98" s="10"/>
      <c r="O98" s="1"/>
      <c r="P98" s="21"/>
      <c r="Q98" s="23" t="str">
        <f t="shared" si="4"/>
        <v/>
      </c>
      <c r="R98" s="7"/>
      <c r="S98" s="7"/>
      <c r="W98" s="7" t="str">
        <f t="shared" si="5"/>
        <v/>
      </c>
    </row>
    <row r="99" spans="2:23" customFormat="1">
      <c r="B99" s="71"/>
      <c r="C99" s="71"/>
      <c r="D99" s="72"/>
      <c r="E99" s="12"/>
      <c r="F99" s="107"/>
      <c r="G99" s="11"/>
      <c r="H99" s="13"/>
      <c r="I99" s="14"/>
      <c r="J99" s="13"/>
      <c r="K99" s="10"/>
      <c r="L99" s="10"/>
      <c r="M99" s="7"/>
      <c r="N99" s="10"/>
      <c r="O99" s="1"/>
      <c r="P99" s="21"/>
      <c r="Q99" s="23" t="str">
        <f t="shared" si="4"/>
        <v/>
      </c>
      <c r="R99" s="7"/>
      <c r="S99" s="7"/>
      <c r="W99" s="7" t="str">
        <f t="shared" si="5"/>
        <v/>
      </c>
    </row>
    <row r="100" spans="2:23" customFormat="1">
      <c r="B100" s="71"/>
      <c r="C100" s="71"/>
      <c r="D100" s="72"/>
      <c r="E100" s="12"/>
      <c r="F100" s="107"/>
      <c r="G100" s="11"/>
      <c r="H100" s="13"/>
      <c r="I100" s="14"/>
      <c r="J100" s="13"/>
      <c r="K100" s="10"/>
      <c r="L100" s="10"/>
      <c r="M100" s="7"/>
      <c r="N100" s="10"/>
      <c r="O100" s="1"/>
      <c r="P100" s="21"/>
      <c r="Q100" s="23" t="str">
        <f t="shared" si="4"/>
        <v/>
      </c>
      <c r="R100" s="7"/>
      <c r="S100" s="7"/>
      <c r="W100" s="7" t="str">
        <f t="shared" si="5"/>
        <v/>
      </c>
    </row>
    <row r="101" spans="2:23" customFormat="1">
      <c r="B101" s="71"/>
      <c r="C101" s="71"/>
      <c r="D101" s="72"/>
      <c r="E101" s="12"/>
      <c r="F101" s="107"/>
      <c r="G101" s="11"/>
      <c r="H101" s="13"/>
      <c r="I101" s="14"/>
      <c r="J101" s="13"/>
      <c r="K101" s="10"/>
      <c r="L101" s="10"/>
      <c r="M101" s="7"/>
      <c r="N101" s="10"/>
      <c r="O101" s="1"/>
      <c r="P101" s="21"/>
      <c r="Q101" s="23" t="str">
        <f t="shared" si="4"/>
        <v/>
      </c>
      <c r="R101" s="7"/>
      <c r="S101" s="7"/>
      <c r="W101" s="7" t="str">
        <f t="shared" si="5"/>
        <v/>
      </c>
    </row>
    <row r="102" spans="2:23" customFormat="1">
      <c r="B102" s="71"/>
      <c r="C102" s="71"/>
      <c r="D102" s="72"/>
      <c r="E102" s="12"/>
      <c r="F102" s="107"/>
      <c r="G102" s="11"/>
      <c r="H102" s="13"/>
      <c r="I102" s="14"/>
      <c r="J102" s="13"/>
      <c r="K102" s="10"/>
      <c r="L102" s="10"/>
      <c r="M102" s="7"/>
      <c r="N102" s="10"/>
      <c r="O102" s="1"/>
      <c r="P102" s="21"/>
      <c r="Q102" s="23" t="str">
        <f t="shared" si="4"/>
        <v/>
      </c>
      <c r="R102" s="7"/>
      <c r="S102" s="7"/>
      <c r="W102" s="7" t="str">
        <f t="shared" si="5"/>
        <v/>
      </c>
    </row>
    <row r="103" spans="2:23" customFormat="1">
      <c r="B103" s="71"/>
      <c r="C103" s="71"/>
      <c r="D103" s="72"/>
      <c r="E103" s="12"/>
      <c r="F103" s="107"/>
      <c r="G103" s="11"/>
      <c r="H103" s="13"/>
      <c r="I103" s="14"/>
      <c r="J103" s="13"/>
      <c r="K103" s="10"/>
      <c r="L103" s="10"/>
      <c r="M103" s="7"/>
      <c r="N103" s="10"/>
      <c r="O103" s="1"/>
      <c r="P103" s="21"/>
      <c r="Q103" s="23" t="str">
        <f t="shared" si="4"/>
        <v/>
      </c>
      <c r="R103" s="7"/>
      <c r="S103" s="7"/>
      <c r="W103" s="7" t="str">
        <f t="shared" si="5"/>
        <v/>
      </c>
    </row>
    <row r="104" spans="2:23" customFormat="1">
      <c r="B104" s="71"/>
      <c r="C104" s="71"/>
      <c r="D104" s="72"/>
      <c r="E104" s="12"/>
      <c r="F104" s="107"/>
      <c r="G104" s="11"/>
      <c r="H104" s="13"/>
      <c r="I104" s="14"/>
      <c r="J104" s="13"/>
      <c r="K104" s="10"/>
      <c r="L104" s="10"/>
      <c r="M104" s="7"/>
      <c r="N104" s="10"/>
      <c r="O104" s="1"/>
      <c r="P104" s="21"/>
      <c r="Q104" s="23" t="str">
        <f t="shared" si="4"/>
        <v/>
      </c>
      <c r="R104" s="7"/>
      <c r="S104" s="7"/>
      <c r="W104" s="7" t="str">
        <f t="shared" si="5"/>
        <v/>
      </c>
    </row>
    <row r="105" spans="2:23" customFormat="1">
      <c r="B105" s="71"/>
      <c r="C105" s="71"/>
      <c r="D105" s="72"/>
      <c r="E105" s="12"/>
      <c r="F105" s="107"/>
      <c r="G105" s="11"/>
      <c r="H105" s="13"/>
      <c r="I105" s="14"/>
      <c r="J105" s="13"/>
      <c r="K105" s="10"/>
      <c r="L105" s="10"/>
      <c r="M105" s="7"/>
      <c r="N105" s="10"/>
      <c r="O105" s="1"/>
      <c r="P105" s="21"/>
      <c r="Q105" s="23" t="str">
        <f t="shared" si="4"/>
        <v/>
      </c>
      <c r="R105" s="7"/>
      <c r="S105" s="7"/>
      <c r="W105" s="7" t="str">
        <f t="shared" si="5"/>
        <v/>
      </c>
    </row>
    <row r="106" spans="2:23" customFormat="1">
      <c r="B106" s="71"/>
      <c r="C106" s="71"/>
      <c r="D106" s="72"/>
      <c r="E106" s="12"/>
      <c r="F106" s="107"/>
      <c r="G106" s="11"/>
      <c r="H106" s="13"/>
      <c r="I106" s="14"/>
      <c r="J106" s="13"/>
      <c r="K106" s="10"/>
      <c r="L106" s="10"/>
      <c r="M106" s="7"/>
      <c r="N106" s="10"/>
      <c r="O106" s="1"/>
      <c r="P106" s="21"/>
      <c r="Q106" s="23" t="str">
        <f t="shared" si="4"/>
        <v/>
      </c>
      <c r="R106" s="7"/>
      <c r="S106" s="7"/>
      <c r="W106" s="7" t="str">
        <f t="shared" si="5"/>
        <v/>
      </c>
    </row>
    <row r="107" spans="2:23" customFormat="1">
      <c r="B107" s="71"/>
      <c r="C107" s="71"/>
      <c r="D107" s="72"/>
      <c r="E107" s="12"/>
      <c r="F107" s="107"/>
      <c r="G107" s="11"/>
      <c r="H107" s="13"/>
      <c r="I107" s="14"/>
      <c r="J107" s="13"/>
      <c r="K107" s="10"/>
      <c r="L107" s="10"/>
      <c r="M107" s="7"/>
      <c r="N107" s="10"/>
      <c r="O107" s="1"/>
      <c r="P107" s="21"/>
      <c r="Q107" s="23" t="str">
        <f t="shared" si="4"/>
        <v/>
      </c>
      <c r="R107" s="7"/>
      <c r="S107" s="7"/>
      <c r="W107" s="7" t="str">
        <f t="shared" si="5"/>
        <v/>
      </c>
    </row>
    <row r="108" spans="2:23" customFormat="1">
      <c r="B108" s="71"/>
      <c r="C108" s="71"/>
      <c r="D108" s="72"/>
      <c r="E108" s="12"/>
      <c r="F108" s="107"/>
      <c r="G108" s="11"/>
      <c r="H108" s="13"/>
      <c r="I108" s="14"/>
      <c r="J108" s="13"/>
      <c r="K108" s="10"/>
      <c r="L108" s="10"/>
      <c r="M108" s="7"/>
      <c r="N108" s="10"/>
      <c r="O108" s="1"/>
      <c r="P108" s="21"/>
      <c r="Q108" s="23" t="str">
        <f t="shared" si="4"/>
        <v/>
      </c>
      <c r="R108" s="7"/>
      <c r="S108" s="7"/>
      <c r="W108" s="7" t="str">
        <f t="shared" si="5"/>
        <v/>
      </c>
    </row>
    <row r="109" spans="2:23" customFormat="1">
      <c r="B109" s="71"/>
      <c r="C109" s="71"/>
      <c r="D109" s="72"/>
      <c r="E109" s="12"/>
      <c r="F109" s="107"/>
      <c r="G109" s="11"/>
      <c r="H109" s="13"/>
      <c r="I109" s="14"/>
      <c r="J109" s="13"/>
      <c r="K109" s="10"/>
      <c r="L109" s="10"/>
      <c r="M109" s="7"/>
      <c r="N109" s="10"/>
      <c r="O109" s="1"/>
      <c r="P109" s="21"/>
      <c r="Q109" s="23" t="str">
        <f t="shared" si="4"/>
        <v/>
      </c>
      <c r="R109" s="7"/>
      <c r="S109" s="7"/>
      <c r="W109" s="7" t="str">
        <f t="shared" si="5"/>
        <v/>
      </c>
    </row>
    <row r="110" spans="2:23" customFormat="1">
      <c r="B110" s="71"/>
      <c r="C110" s="71"/>
      <c r="D110" s="72"/>
      <c r="E110" s="12"/>
      <c r="F110" s="107"/>
      <c r="G110" s="11"/>
      <c r="H110" s="13"/>
      <c r="I110" s="14"/>
      <c r="J110" s="13"/>
      <c r="K110" s="10"/>
      <c r="L110" s="10"/>
      <c r="M110" s="7"/>
      <c r="N110" s="10"/>
      <c r="O110" s="1"/>
      <c r="P110" s="21"/>
      <c r="Q110" s="23" t="str">
        <f t="shared" si="4"/>
        <v/>
      </c>
      <c r="R110" s="7"/>
      <c r="S110" s="7"/>
      <c r="W110" s="7" t="str">
        <f t="shared" si="5"/>
        <v/>
      </c>
    </row>
    <row r="111" spans="2:23" customFormat="1">
      <c r="B111" s="71"/>
      <c r="C111" s="71"/>
      <c r="D111" s="72"/>
      <c r="E111" s="12"/>
      <c r="F111" s="107"/>
      <c r="G111" s="11"/>
      <c r="H111" s="13"/>
      <c r="I111" s="14"/>
      <c r="J111" s="13"/>
      <c r="K111" s="10"/>
      <c r="L111" s="10"/>
      <c r="M111" s="7"/>
      <c r="N111" s="10"/>
      <c r="O111" s="1"/>
      <c r="P111" s="21"/>
      <c r="Q111" s="23" t="str">
        <f t="shared" si="4"/>
        <v/>
      </c>
      <c r="R111" s="7"/>
      <c r="S111" s="7"/>
      <c r="W111" s="7" t="str">
        <f t="shared" si="5"/>
        <v/>
      </c>
    </row>
    <row r="112" spans="2:23" customFormat="1">
      <c r="B112" s="71"/>
      <c r="C112" s="71"/>
      <c r="D112" s="72"/>
      <c r="E112" s="12"/>
      <c r="F112" s="107"/>
      <c r="G112" s="11"/>
      <c r="H112" s="13"/>
      <c r="I112" s="14"/>
      <c r="J112" s="13"/>
      <c r="K112" s="10"/>
      <c r="L112" s="10"/>
      <c r="M112" s="7"/>
      <c r="N112" s="10"/>
      <c r="O112" s="1"/>
      <c r="P112" s="21"/>
      <c r="Q112" s="23" t="str">
        <f t="shared" si="4"/>
        <v/>
      </c>
      <c r="R112" s="7"/>
      <c r="S112" s="7"/>
      <c r="W112" s="7" t="str">
        <f t="shared" si="5"/>
        <v/>
      </c>
    </row>
    <row r="113" spans="2:23" customFormat="1">
      <c r="B113" s="71"/>
      <c r="C113" s="71"/>
      <c r="D113" s="72"/>
      <c r="E113" s="12"/>
      <c r="F113" s="107"/>
      <c r="G113" s="11"/>
      <c r="H113" s="13"/>
      <c r="I113" s="14"/>
      <c r="J113" s="13"/>
      <c r="K113" s="10"/>
      <c r="L113" s="10"/>
      <c r="M113" s="7"/>
      <c r="N113" s="10"/>
      <c r="O113" s="1"/>
      <c r="P113" s="21"/>
      <c r="Q113" s="23" t="str">
        <f t="shared" si="4"/>
        <v/>
      </c>
      <c r="R113" s="7"/>
      <c r="S113" s="7"/>
      <c r="W113" s="7" t="str">
        <f t="shared" si="5"/>
        <v/>
      </c>
    </row>
    <row r="114" spans="2:23" customFormat="1">
      <c r="B114" s="71"/>
      <c r="C114" s="71"/>
      <c r="D114" s="72"/>
      <c r="E114" s="12"/>
      <c r="F114" s="107"/>
      <c r="G114" s="11"/>
      <c r="H114" s="13"/>
      <c r="I114" s="14"/>
      <c r="J114" s="13"/>
      <c r="K114" s="10"/>
      <c r="L114" s="10"/>
      <c r="M114" s="7"/>
      <c r="N114" s="10"/>
      <c r="O114" s="1"/>
      <c r="P114" s="21"/>
      <c r="Q114" s="23" t="str">
        <f t="shared" si="4"/>
        <v/>
      </c>
      <c r="R114" s="7"/>
      <c r="S114" s="7"/>
      <c r="W114" s="7" t="str">
        <f t="shared" si="5"/>
        <v/>
      </c>
    </row>
    <row r="115" spans="2:23" customFormat="1">
      <c r="B115" s="71"/>
      <c r="C115" s="71"/>
      <c r="D115" s="72"/>
      <c r="E115" s="12"/>
      <c r="F115" s="107"/>
      <c r="G115" s="11"/>
      <c r="H115" s="13"/>
      <c r="I115" s="14"/>
      <c r="J115" s="13"/>
      <c r="K115" s="10"/>
      <c r="L115" s="10"/>
      <c r="M115" s="7"/>
      <c r="N115" s="10"/>
      <c r="O115" s="1"/>
      <c r="P115" s="21"/>
      <c r="Q115" s="23" t="str">
        <f t="shared" si="4"/>
        <v/>
      </c>
      <c r="R115" s="7"/>
      <c r="S115" s="7"/>
      <c r="W115" s="7" t="str">
        <f t="shared" si="5"/>
        <v/>
      </c>
    </row>
    <row r="116" spans="2:23" customFormat="1">
      <c r="B116" s="71"/>
      <c r="C116" s="71"/>
      <c r="D116" s="72"/>
      <c r="E116" s="12"/>
      <c r="F116" s="107"/>
      <c r="G116" s="11"/>
      <c r="H116" s="13"/>
      <c r="I116" s="14"/>
      <c r="J116" s="13"/>
      <c r="K116" s="10"/>
      <c r="L116" s="10"/>
      <c r="M116" s="7"/>
      <c r="N116" s="10"/>
      <c r="O116" s="1"/>
      <c r="P116" s="21"/>
      <c r="Q116" s="23" t="str">
        <f t="shared" si="4"/>
        <v/>
      </c>
      <c r="R116" s="7"/>
      <c r="S116" s="7"/>
      <c r="W116" s="7" t="str">
        <f t="shared" si="5"/>
        <v/>
      </c>
    </row>
    <row r="117" spans="2:23" customFormat="1">
      <c r="B117" s="71"/>
      <c r="C117" s="71"/>
      <c r="D117" s="72"/>
      <c r="E117" s="12"/>
      <c r="F117" s="107"/>
      <c r="G117" s="11"/>
      <c r="H117" s="13"/>
      <c r="I117" s="14"/>
      <c r="J117" s="13"/>
      <c r="K117" s="10"/>
      <c r="L117" s="10"/>
      <c r="M117" s="7"/>
      <c r="N117" s="10"/>
      <c r="O117" s="1"/>
      <c r="P117" s="21"/>
      <c r="Q117" s="23" t="str">
        <f t="shared" si="4"/>
        <v/>
      </c>
      <c r="R117" s="7"/>
      <c r="S117" s="7"/>
      <c r="W117" s="7" t="str">
        <f t="shared" si="5"/>
        <v/>
      </c>
    </row>
    <row r="118" spans="2:23" customFormat="1">
      <c r="B118" s="71"/>
      <c r="C118" s="71"/>
      <c r="D118" s="72"/>
      <c r="E118" s="12"/>
      <c r="F118" s="107"/>
      <c r="G118" s="11"/>
      <c r="H118" s="13"/>
      <c r="I118" s="14"/>
      <c r="J118" s="13"/>
      <c r="K118" s="10"/>
      <c r="L118" s="10"/>
      <c r="M118" s="7"/>
      <c r="N118" s="10"/>
      <c r="O118" s="1"/>
      <c r="P118" s="21"/>
      <c r="Q118" s="23" t="str">
        <f t="shared" si="4"/>
        <v/>
      </c>
      <c r="R118" s="7"/>
      <c r="S118" s="7"/>
      <c r="W118" s="7" t="str">
        <f t="shared" si="5"/>
        <v/>
      </c>
    </row>
    <row r="119" spans="2:23" customFormat="1">
      <c r="B119" s="71"/>
      <c r="C119" s="71"/>
      <c r="D119" s="72"/>
      <c r="E119" s="12"/>
      <c r="F119" s="107"/>
      <c r="G119" s="11"/>
      <c r="H119" s="13"/>
      <c r="I119" s="14"/>
      <c r="J119" s="13"/>
      <c r="K119" s="10"/>
      <c r="L119" s="10"/>
      <c r="M119" s="7"/>
      <c r="N119" s="10"/>
      <c r="O119" s="1"/>
      <c r="P119" s="21"/>
      <c r="Q119" s="23" t="str">
        <f t="shared" si="4"/>
        <v/>
      </c>
      <c r="R119" s="7"/>
      <c r="S119" s="7"/>
      <c r="W119" s="7" t="str">
        <f t="shared" si="5"/>
        <v/>
      </c>
    </row>
    <row r="120" spans="2:23" customFormat="1">
      <c r="B120" s="71"/>
      <c r="C120" s="71"/>
      <c r="D120" s="72"/>
      <c r="E120" s="12"/>
      <c r="F120" s="107"/>
      <c r="G120" s="11"/>
      <c r="H120" s="13"/>
      <c r="I120" s="14"/>
      <c r="J120" s="13"/>
      <c r="K120" s="10"/>
      <c r="L120" s="10"/>
      <c r="M120" s="7"/>
      <c r="N120" s="10"/>
      <c r="O120" s="1"/>
      <c r="P120" s="21"/>
      <c r="Q120" s="23" t="str">
        <f t="shared" si="4"/>
        <v/>
      </c>
      <c r="R120" s="7"/>
      <c r="S120" s="7"/>
      <c r="W120" s="7" t="str">
        <f t="shared" si="5"/>
        <v/>
      </c>
    </row>
    <row r="121" spans="2:23" customFormat="1">
      <c r="B121" s="71"/>
      <c r="C121" s="71"/>
      <c r="D121" s="72"/>
      <c r="E121" s="12"/>
      <c r="F121" s="107"/>
      <c r="G121" s="11"/>
      <c r="H121" s="13"/>
      <c r="I121" s="14"/>
      <c r="J121" s="13"/>
      <c r="K121" s="10"/>
      <c r="L121" s="10"/>
      <c r="M121" s="7"/>
      <c r="N121" s="10"/>
      <c r="O121" s="1"/>
      <c r="P121" s="21"/>
      <c r="Q121" s="23" t="str">
        <f t="shared" si="4"/>
        <v/>
      </c>
      <c r="R121" s="7"/>
      <c r="S121" s="7"/>
      <c r="W121" s="7" t="str">
        <f t="shared" si="5"/>
        <v/>
      </c>
    </row>
    <row r="122" spans="2:23" customFormat="1">
      <c r="B122" s="71"/>
      <c r="C122" s="71"/>
      <c r="D122" s="72"/>
      <c r="E122" s="12"/>
      <c r="F122" s="107"/>
      <c r="G122" s="11"/>
      <c r="H122" s="13"/>
      <c r="I122" s="14"/>
      <c r="J122" s="13"/>
      <c r="K122" s="10"/>
      <c r="L122" s="10"/>
      <c r="M122" s="7"/>
      <c r="N122" s="10"/>
      <c r="O122" s="1"/>
      <c r="P122" s="21"/>
      <c r="Q122" s="23" t="str">
        <f t="shared" si="4"/>
        <v/>
      </c>
      <c r="R122" s="7"/>
      <c r="S122" s="7"/>
      <c r="W122" s="7" t="str">
        <f t="shared" si="5"/>
        <v/>
      </c>
    </row>
    <row r="123" spans="2:23" customFormat="1">
      <c r="B123" s="71"/>
      <c r="C123" s="71"/>
      <c r="D123" s="72"/>
      <c r="E123" s="12"/>
      <c r="F123" s="107"/>
      <c r="G123" s="11"/>
      <c r="H123" s="13"/>
      <c r="I123" s="14"/>
      <c r="J123" s="13"/>
      <c r="K123" s="10"/>
      <c r="L123" s="10"/>
      <c r="M123" s="7"/>
      <c r="N123" s="10"/>
      <c r="O123" s="1"/>
      <c r="P123" s="21"/>
      <c r="Q123" s="23" t="str">
        <f t="shared" si="4"/>
        <v/>
      </c>
      <c r="R123" s="7"/>
      <c r="S123" s="7"/>
      <c r="W123" s="7" t="str">
        <f t="shared" si="5"/>
        <v/>
      </c>
    </row>
    <row r="124" spans="2:23" customFormat="1">
      <c r="B124" s="71"/>
      <c r="C124" s="71"/>
      <c r="D124" s="72"/>
      <c r="E124" s="12"/>
      <c r="F124" s="107"/>
      <c r="G124" s="11"/>
      <c r="H124" s="13"/>
      <c r="I124" s="14"/>
      <c r="J124" s="13"/>
      <c r="K124" s="10"/>
      <c r="L124" s="10"/>
      <c r="M124" s="7"/>
      <c r="N124" s="10"/>
      <c r="O124" s="1"/>
      <c r="P124" s="21"/>
      <c r="Q124" s="23" t="str">
        <f t="shared" si="4"/>
        <v/>
      </c>
      <c r="R124" s="7"/>
      <c r="S124" s="7"/>
      <c r="W124" s="7" t="str">
        <f t="shared" si="5"/>
        <v/>
      </c>
    </row>
    <row r="125" spans="2:23" customFormat="1">
      <c r="B125" s="71"/>
      <c r="C125" s="71"/>
      <c r="D125" s="72"/>
      <c r="E125" s="12"/>
      <c r="F125" s="107"/>
      <c r="G125" s="11"/>
      <c r="H125" s="13"/>
      <c r="I125" s="14"/>
      <c r="J125" s="13"/>
      <c r="K125" s="10"/>
      <c r="L125" s="10"/>
      <c r="M125" s="7"/>
      <c r="N125" s="10"/>
      <c r="O125" s="1"/>
      <c r="P125" s="21"/>
      <c r="Q125" s="23" t="str">
        <f t="shared" si="4"/>
        <v/>
      </c>
      <c r="R125" s="7"/>
      <c r="S125" s="7"/>
      <c r="W125" s="7" t="str">
        <f t="shared" si="5"/>
        <v/>
      </c>
    </row>
    <row r="126" spans="2:23" customFormat="1">
      <c r="B126" s="71"/>
      <c r="C126" s="71"/>
      <c r="D126" s="72"/>
      <c r="E126" s="12"/>
      <c r="F126" s="107"/>
      <c r="G126" s="11"/>
      <c r="H126" s="13"/>
      <c r="I126" s="14"/>
      <c r="J126" s="13"/>
      <c r="K126" s="10"/>
      <c r="L126" s="10"/>
      <c r="M126" s="7"/>
      <c r="N126" s="10"/>
      <c r="O126" s="1"/>
      <c r="P126" s="21"/>
      <c r="Q126" s="23" t="str">
        <f t="shared" si="4"/>
        <v/>
      </c>
      <c r="R126" s="7"/>
      <c r="S126" s="7"/>
      <c r="W126" s="7" t="str">
        <f t="shared" si="5"/>
        <v/>
      </c>
    </row>
    <row r="127" spans="2:23" customFormat="1">
      <c r="B127" s="71"/>
      <c r="C127" s="71"/>
      <c r="D127" s="72"/>
      <c r="E127" s="12"/>
      <c r="F127" s="107"/>
      <c r="G127" s="11"/>
      <c r="H127" s="13"/>
      <c r="I127" s="14"/>
      <c r="J127" s="13"/>
      <c r="K127" s="10"/>
      <c r="L127" s="10"/>
      <c r="M127" s="7"/>
      <c r="N127" s="10"/>
      <c r="O127" s="1"/>
      <c r="P127" s="21"/>
      <c r="Q127" s="23" t="str">
        <f t="shared" si="4"/>
        <v/>
      </c>
      <c r="R127" s="7"/>
      <c r="S127" s="7"/>
      <c r="W127" s="7" t="str">
        <f t="shared" si="5"/>
        <v/>
      </c>
    </row>
    <row r="128" spans="2:23" customFormat="1">
      <c r="B128" s="71"/>
      <c r="C128" s="71"/>
      <c r="D128" s="72"/>
      <c r="E128" s="12"/>
      <c r="F128" s="107"/>
      <c r="G128" s="11"/>
      <c r="H128" s="13"/>
      <c r="I128" s="14"/>
      <c r="J128" s="13"/>
      <c r="K128" s="10"/>
      <c r="L128" s="10"/>
      <c r="M128" s="7"/>
      <c r="N128" s="10"/>
      <c r="O128" s="1"/>
      <c r="P128" s="21"/>
      <c r="Q128" s="23" t="str">
        <f t="shared" si="4"/>
        <v/>
      </c>
      <c r="R128" s="7"/>
      <c r="S128" s="7"/>
      <c r="W128" s="7" t="str">
        <f t="shared" si="5"/>
        <v/>
      </c>
    </row>
    <row r="129" spans="2:23" customFormat="1">
      <c r="B129" s="71"/>
      <c r="C129" s="71"/>
      <c r="D129" s="72"/>
      <c r="E129" s="12"/>
      <c r="F129" s="107"/>
      <c r="G129" s="11"/>
      <c r="H129" s="13"/>
      <c r="I129" s="14"/>
      <c r="J129" s="13"/>
      <c r="K129" s="10"/>
      <c r="L129" s="10"/>
      <c r="M129" s="7"/>
      <c r="N129" s="10"/>
      <c r="O129" s="1"/>
      <c r="P129" s="21"/>
      <c r="Q129" s="23" t="str">
        <f t="shared" si="4"/>
        <v/>
      </c>
      <c r="R129" s="7"/>
      <c r="S129" s="7"/>
      <c r="W129" s="7" t="str">
        <f t="shared" si="5"/>
        <v/>
      </c>
    </row>
    <row r="130" spans="2:23" customFormat="1">
      <c r="B130" s="71"/>
      <c r="C130" s="71"/>
      <c r="D130" s="72"/>
      <c r="E130" s="12"/>
      <c r="F130" s="107"/>
      <c r="G130" s="11"/>
      <c r="H130" s="13"/>
      <c r="I130" s="14"/>
      <c r="J130" s="13"/>
      <c r="K130" s="10"/>
      <c r="L130" s="10"/>
      <c r="M130" s="7"/>
      <c r="N130" s="10"/>
      <c r="O130" s="1"/>
      <c r="P130" s="21"/>
      <c r="Q130" s="23" t="str">
        <f t="shared" si="4"/>
        <v/>
      </c>
      <c r="R130" s="7"/>
      <c r="S130" s="7"/>
      <c r="W130" s="7" t="str">
        <f t="shared" si="5"/>
        <v/>
      </c>
    </row>
    <row r="131" spans="2:23" customFormat="1">
      <c r="B131" s="71"/>
      <c r="C131" s="71"/>
      <c r="D131" s="72"/>
      <c r="E131" s="12"/>
      <c r="F131" s="107"/>
      <c r="G131" s="11"/>
      <c r="H131" s="13"/>
      <c r="I131" s="14"/>
      <c r="J131" s="13"/>
      <c r="K131" s="10"/>
      <c r="L131" s="10"/>
      <c r="M131" s="7"/>
      <c r="N131" s="10"/>
      <c r="O131" s="1"/>
      <c r="P131" s="21"/>
      <c r="Q131" s="23" t="str">
        <f t="shared" si="4"/>
        <v/>
      </c>
      <c r="R131" s="7"/>
      <c r="S131" s="7"/>
      <c r="W131" s="7" t="str">
        <f t="shared" si="5"/>
        <v/>
      </c>
    </row>
    <row r="132" spans="2:23" customFormat="1">
      <c r="B132" s="71"/>
      <c r="C132" s="71"/>
      <c r="D132" s="72"/>
      <c r="E132" s="12"/>
      <c r="F132" s="107"/>
      <c r="G132" s="11"/>
      <c r="H132" s="13"/>
      <c r="I132" s="14"/>
      <c r="J132" s="13"/>
      <c r="K132" s="10"/>
      <c r="L132" s="10"/>
      <c r="M132" s="7"/>
      <c r="N132" s="10"/>
      <c r="O132" s="1"/>
      <c r="P132" s="21"/>
      <c r="Q132" s="23" t="str">
        <f t="shared" si="4"/>
        <v/>
      </c>
      <c r="R132" s="7"/>
      <c r="S132" s="7"/>
      <c r="W132" s="7" t="str">
        <f t="shared" si="5"/>
        <v/>
      </c>
    </row>
    <row r="133" spans="2:23" customFormat="1">
      <c r="B133" s="71"/>
      <c r="C133" s="71"/>
      <c r="D133" s="72"/>
      <c r="E133" s="12"/>
      <c r="F133" s="107"/>
      <c r="G133" s="11"/>
      <c r="H133" s="13"/>
      <c r="I133" s="14"/>
      <c r="J133" s="13"/>
      <c r="K133" s="10"/>
      <c r="L133" s="10"/>
      <c r="M133" s="7"/>
      <c r="N133" s="10"/>
      <c r="O133" s="1"/>
      <c r="P133" s="21"/>
      <c r="Q133" s="23" t="str">
        <f t="shared" si="4"/>
        <v/>
      </c>
      <c r="R133" s="7"/>
      <c r="S133" s="7"/>
      <c r="W133" s="7" t="str">
        <f t="shared" si="5"/>
        <v/>
      </c>
    </row>
    <row r="134" spans="2:23" customFormat="1">
      <c r="B134" s="71"/>
      <c r="C134" s="71"/>
      <c r="D134" s="72"/>
      <c r="E134" s="12"/>
      <c r="F134" s="107"/>
      <c r="G134" s="11"/>
      <c r="H134" s="13"/>
      <c r="I134" s="14"/>
      <c r="J134" s="13"/>
      <c r="K134" s="10"/>
      <c r="L134" s="10"/>
      <c r="M134" s="7"/>
      <c r="N134" s="10"/>
      <c r="O134" s="1"/>
      <c r="P134" s="21"/>
      <c r="Q134" s="23" t="str">
        <f t="shared" si="4"/>
        <v/>
      </c>
      <c r="R134" s="7"/>
      <c r="S134" s="7"/>
      <c r="W134" s="7" t="str">
        <f t="shared" si="5"/>
        <v/>
      </c>
    </row>
    <row r="135" spans="2:23" customFormat="1">
      <c r="B135" s="71"/>
      <c r="C135" s="71"/>
      <c r="D135" s="72"/>
      <c r="E135" s="12"/>
      <c r="F135" s="107"/>
      <c r="G135" s="11"/>
      <c r="H135" s="13"/>
      <c r="I135" s="14"/>
      <c r="J135" s="13"/>
      <c r="K135" s="10"/>
      <c r="L135" s="10"/>
      <c r="M135" s="7"/>
      <c r="N135" s="10"/>
      <c r="O135" s="1"/>
      <c r="P135" s="21"/>
      <c r="Q135" s="23" t="str">
        <f t="shared" si="4"/>
        <v/>
      </c>
      <c r="R135" s="7"/>
      <c r="S135" s="7"/>
      <c r="W135" s="7" t="str">
        <f t="shared" si="5"/>
        <v/>
      </c>
    </row>
    <row r="136" spans="2:23" customFormat="1">
      <c r="B136" s="71"/>
      <c r="C136" s="71"/>
      <c r="D136" s="72"/>
      <c r="E136" s="12"/>
      <c r="F136" s="107"/>
      <c r="G136" s="11"/>
      <c r="H136" s="13"/>
      <c r="I136" s="14"/>
      <c r="J136" s="13"/>
      <c r="K136" s="10"/>
      <c r="L136" s="10"/>
      <c r="M136" s="7"/>
      <c r="N136" s="10"/>
      <c r="O136" s="1"/>
      <c r="P136" s="21"/>
      <c r="Q136" s="23" t="str">
        <f t="shared" si="4"/>
        <v/>
      </c>
      <c r="R136" s="7"/>
      <c r="S136" s="7"/>
      <c r="W136" s="7" t="str">
        <f t="shared" si="5"/>
        <v/>
      </c>
    </row>
    <row r="137" spans="2:23" customFormat="1">
      <c r="B137" s="71"/>
      <c r="C137" s="71"/>
      <c r="D137" s="72"/>
      <c r="E137" s="12"/>
      <c r="F137" s="107"/>
      <c r="G137" s="11"/>
      <c r="H137" s="13"/>
      <c r="I137" s="14"/>
      <c r="J137" s="13"/>
      <c r="K137" s="10"/>
      <c r="L137" s="10"/>
      <c r="M137" s="7"/>
      <c r="N137" s="10"/>
      <c r="O137" s="1"/>
      <c r="P137" s="21"/>
      <c r="Q137" s="23" t="str">
        <f t="shared" si="4"/>
        <v/>
      </c>
      <c r="R137" s="7"/>
      <c r="S137" s="7"/>
      <c r="W137" s="7" t="str">
        <f t="shared" si="5"/>
        <v/>
      </c>
    </row>
    <row r="138" spans="2:23" customFormat="1">
      <c r="B138" s="71"/>
      <c r="C138" s="71"/>
      <c r="D138" s="72"/>
      <c r="E138" s="12"/>
      <c r="F138" s="107"/>
      <c r="G138" s="11"/>
      <c r="H138" s="13"/>
      <c r="I138" s="14"/>
      <c r="J138" s="13"/>
      <c r="K138" s="10"/>
      <c r="L138" s="10"/>
      <c r="M138" s="7"/>
      <c r="N138" s="10"/>
      <c r="O138" s="1"/>
      <c r="P138" s="21"/>
      <c r="Q138" s="23" t="str">
        <f t="shared" si="4"/>
        <v/>
      </c>
      <c r="R138" s="7"/>
      <c r="S138" s="7"/>
      <c r="W138" s="7" t="str">
        <f t="shared" si="5"/>
        <v/>
      </c>
    </row>
    <row r="139" spans="2:23" customFormat="1">
      <c r="B139" s="71"/>
      <c r="C139" s="71"/>
      <c r="D139" s="72"/>
      <c r="E139" s="12"/>
      <c r="F139" s="107"/>
      <c r="G139" s="11"/>
      <c r="H139" s="13"/>
      <c r="I139" s="14"/>
      <c r="J139" s="13"/>
      <c r="K139" s="10"/>
      <c r="L139" s="10"/>
      <c r="M139" s="7"/>
      <c r="N139" s="10"/>
      <c r="O139" s="1"/>
      <c r="P139" s="21"/>
      <c r="Q139" s="23" t="str">
        <f t="shared" si="4"/>
        <v/>
      </c>
      <c r="R139" s="7"/>
      <c r="S139" s="7"/>
      <c r="W139" s="7" t="str">
        <f t="shared" si="5"/>
        <v/>
      </c>
    </row>
    <row r="140" spans="2:23" customFormat="1">
      <c r="B140" s="71"/>
      <c r="C140" s="71"/>
      <c r="D140" s="72"/>
      <c r="E140" s="12"/>
      <c r="F140" s="107"/>
      <c r="G140" s="11"/>
      <c r="H140" s="13"/>
      <c r="I140" s="14"/>
      <c r="J140" s="13"/>
      <c r="K140" s="10"/>
      <c r="L140" s="10"/>
      <c r="M140" s="7"/>
      <c r="N140" s="10"/>
      <c r="O140" s="1"/>
      <c r="P140" s="21"/>
      <c r="Q140" s="23" t="str">
        <f t="shared" si="4"/>
        <v/>
      </c>
      <c r="R140" s="7"/>
      <c r="S140" s="7"/>
      <c r="W140" s="7" t="str">
        <f t="shared" si="5"/>
        <v/>
      </c>
    </row>
    <row r="141" spans="2:23" customFormat="1">
      <c r="B141" s="71"/>
      <c r="C141" s="71"/>
      <c r="D141" s="72"/>
      <c r="E141" s="12"/>
      <c r="F141" s="107"/>
      <c r="G141" s="11"/>
      <c r="H141" s="13"/>
      <c r="I141" s="14"/>
      <c r="J141" s="13"/>
      <c r="K141" s="10"/>
      <c r="L141" s="10"/>
      <c r="M141" s="7"/>
      <c r="N141" s="10"/>
      <c r="O141" s="1"/>
      <c r="P141" s="21"/>
      <c r="Q141" s="23" t="str">
        <f t="shared" si="4"/>
        <v/>
      </c>
      <c r="R141" s="7"/>
      <c r="S141" s="7"/>
      <c r="W141" s="7" t="str">
        <f t="shared" si="5"/>
        <v/>
      </c>
    </row>
    <row r="142" spans="2:23" customFormat="1">
      <c r="B142" s="71"/>
      <c r="C142" s="71"/>
      <c r="D142" s="72"/>
      <c r="E142" s="12"/>
      <c r="F142" s="107"/>
      <c r="G142" s="11"/>
      <c r="H142" s="13"/>
      <c r="I142" s="14"/>
      <c r="J142" s="13"/>
      <c r="K142" s="10"/>
      <c r="L142" s="10"/>
      <c r="M142" s="7"/>
      <c r="N142" s="10"/>
      <c r="O142" s="1"/>
      <c r="P142" s="21"/>
      <c r="Q142" s="23" t="str">
        <f t="shared" si="4"/>
        <v/>
      </c>
      <c r="R142" s="7"/>
      <c r="S142" s="7"/>
      <c r="W142" s="7" t="str">
        <f t="shared" si="5"/>
        <v/>
      </c>
    </row>
    <row r="143" spans="2:23" customFormat="1">
      <c r="B143" s="71"/>
      <c r="C143" s="71"/>
      <c r="D143" s="72"/>
      <c r="E143" s="12"/>
      <c r="F143" s="107"/>
      <c r="G143" s="11"/>
      <c r="H143" s="13"/>
      <c r="I143" s="14"/>
      <c r="J143" s="13"/>
      <c r="K143" s="10"/>
      <c r="L143" s="10"/>
      <c r="M143" s="7"/>
      <c r="N143" s="10"/>
      <c r="O143" s="1"/>
      <c r="P143" s="21"/>
      <c r="Q143" s="23" t="str">
        <f t="shared" si="4"/>
        <v/>
      </c>
      <c r="R143" s="7"/>
      <c r="S143" s="7"/>
      <c r="W143" s="7" t="str">
        <f t="shared" si="5"/>
        <v/>
      </c>
    </row>
    <row r="144" spans="2:23" customFormat="1">
      <c r="B144" s="71"/>
      <c r="C144" s="71"/>
      <c r="D144" s="72"/>
      <c r="E144" s="12"/>
      <c r="F144" s="107"/>
      <c r="G144" s="11"/>
      <c r="H144" s="13"/>
      <c r="I144" s="14"/>
      <c r="J144" s="13"/>
      <c r="K144" s="10"/>
      <c r="L144" s="10"/>
      <c r="M144" s="7"/>
      <c r="N144" s="10"/>
      <c r="O144" s="1"/>
      <c r="P144" s="21"/>
      <c r="Q144" s="23" t="str">
        <f t="shared" si="4"/>
        <v/>
      </c>
      <c r="R144" s="7"/>
      <c r="S144" s="7"/>
      <c r="W144" s="7" t="str">
        <f t="shared" si="5"/>
        <v/>
      </c>
    </row>
    <row r="145" spans="2:23" customFormat="1">
      <c r="B145" s="71"/>
      <c r="C145" s="71"/>
      <c r="D145" s="72"/>
      <c r="E145" s="12"/>
      <c r="F145" s="107"/>
      <c r="G145" s="11"/>
      <c r="H145" s="13"/>
      <c r="I145" s="14"/>
      <c r="J145" s="13"/>
      <c r="K145" s="10"/>
      <c r="L145" s="10"/>
      <c r="M145" s="7"/>
      <c r="N145" s="10"/>
      <c r="O145" s="1"/>
      <c r="P145" s="21"/>
      <c r="Q145" s="23" t="str">
        <f t="shared" si="4"/>
        <v/>
      </c>
      <c r="R145" s="7"/>
      <c r="S145" s="7"/>
      <c r="W145" s="7" t="str">
        <f t="shared" si="5"/>
        <v/>
      </c>
    </row>
    <row r="146" spans="2:23" customFormat="1">
      <c r="B146" s="71"/>
      <c r="C146" s="71"/>
      <c r="D146" s="72"/>
      <c r="E146" s="12"/>
      <c r="F146" s="107"/>
      <c r="G146" s="11"/>
      <c r="H146" s="13"/>
      <c r="I146" s="14"/>
      <c r="J146" s="13"/>
      <c r="K146" s="10"/>
      <c r="L146" s="10"/>
      <c r="M146" s="7"/>
      <c r="N146" s="10"/>
      <c r="O146" s="1"/>
      <c r="P146" s="21"/>
      <c r="Q146" s="23" t="str">
        <f t="shared" si="4"/>
        <v/>
      </c>
      <c r="R146" s="7"/>
      <c r="S146" s="7"/>
      <c r="W146" s="7" t="str">
        <f t="shared" si="5"/>
        <v/>
      </c>
    </row>
    <row r="147" spans="2:23" customFormat="1">
      <c r="B147" s="71"/>
      <c r="C147" s="71"/>
      <c r="D147" s="72"/>
      <c r="E147" s="12"/>
      <c r="F147" s="107"/>
      <c r="G147" s="11"/>
      <c r="H147" s="13"/>
      <c r="I147" s="14"/>
      <c r="J147" s="13"/>
      <c r="K147" s="10"/>
      <c r="L147" s="10"/>
      <c r="M147" s="7"/>
      <c r="N147" s="10"/>
      <c r="O147" s="1"/>
      <c r="P147" s="21"/>
      <c r="Q147" s="23" t="str">
        <f t="shared" si="4"/>
        <v/>
      </c>
      <c r="R147" s="7"/>
      <c r="S147" s="7"/>
      <c r="W147" s="7" t="str">
        <f t="shared" si="5"/>
        <v/>
      </c>
    </row>
    <row r="148" spans="2:23" customFormat="1">
      <c r="B148" s="71"/>
      <c r="C148" s="71"/>
      <c r="D148" s="72"/>
      <c r="E148" s="12"/>
      <c r="F148" s="107"/>
      <c r="G148" s="11"/>
      <c r="H148" s="13"/>
      <c r="I148" s="14"/>
      <c r="J148" s="13"/>
      <c r="K148" s="10"/>
      <c r="L148" s="10"/>
      <c r="M148" s="7"/>
      <c r="N148" s="10"/>
      <c r="O148" s="1"/>
      <c r="P148" s="21"/>
      <c r="Q148" s="23" t="str">
        <f t="shared" si="4"/>
        <v/>
      </c>
      <c r="R148" s="7"/>
      <c r="S148" s="7"/>
      <c r="W148" s="7" t="str">
        <f t="shared" si="5"/>
        <v/>
      </c>
    </row>
    <row r="149" spans="2:23" customFormat="1">
      <c r="B149" s="71"/>
      <c r="C149" s="71"/>
      <c r="D149" s="72"/>
      <c r="E149" s="12"/>
      <c r="F149" s="107"/>
      <c r="G149" s="11"/>
      <c r="H149" s="13"/>
      <c r="I149" s="14"/>
      <c r="J149" s="13"/>
      <c r="K149" s="10"/>
      <c r="L149" s="10"/>
      <c r="M149" s="7"/>
      <c r="N149" s="10"/>
      <c r="O149" s="1"/>
      <c r="P149" s="21"/>
      <c r="Q149" s="23" t="str">
        <f t="shared" si="4"/>
        <v/>
      </c>
      <c r="R149" s="7"/>
      <c r="S149" s="7"/>
      <c r="W149" s="7" t="str">
        <f t="shared" si="5"/>
        <v/>
      </c>
    </row>
    <row r="150" spans="2:23" customFormat="1">
      <c r="B150" s="71"/>
      <c r="C150" s="71"/>
      <c r="D150" s="72"/>
      <c r="E150" s="12"/>
      <c r="F150" s="107"/>
      <c r="G150" s="11"/>
      <c r="H150" s="13"/>
      <c r="I150" s="14"/>
      <c r="J150" s="13"/>
      <c r="K150" s="10"/>
      <c r="L150" s="10"/>
      <c r="M150" s="7"/>
      <c r="N150" s="10"/>
      <c r="O150" s="1"/>
      <c r="P150" s="21"/>
      <c r="Q150" s="23" t="str">
        <f t="shared" si="4"/>
        <v/>
      </c>
      <c r="R150" s="7"/>
      <c r="S150" s="7"/>
      <c r="W150" s="7" t="str">
        <f t="shared" si="5"/>
        <v/>
      </c>
    </row>
    <row r="151" spans="2:23" customFormat="1">
      <c r="B151" s="71"/>
      <c r="C151" s="71"/>
      <c r="D151" s="72"/>
      <c r="E151" s="12"/>
      <c r="F151" s="107"/>
      <c r="G151" s="11"/>
      <c r="H151" s="13"/>
      <c r="I151" s="14"/>
      <c r="J151" s="13"/>
      <c r="K151" s="10"/>
      <c r="L151" s="10"/>
      <c r="M151" s="7"/>
      <c r="N151" s="10"/>
      <c r="O151" s="1"/>
      <c r="P151" s="21"/>
      <c r="Q151" s="23" t="str">
        <f t="shared" ref="Q151:Q214" si="6">IF(P151="Exemplary", "None; meets or exceeds all minimum requirements.",IF(P151="Strong", "Minor gaps in execution or periodic review; improvement needed.",IF(P151="Developing", "Partial compliance; gaps in documentation, roles, or execution.",IF(P151="Emerging", "Informal or incomplete implementation; missing formal documents or procedures.",IF(P151="Critical", "Control not initiated; no documentation or designation.","")))))</f>
        <v/>
      </c>
      <c r="R151" s="7"/>
      <c r="S151" s="7"/>
      <c r="W151" s="7" t="str">
        <f t="shared" si="5"/>
        <v/>
      </c>
    </row>
    <row r="152" spans="2:23" customFormat="1">
      <c r="B152" s="71"/>
      <c r="C152" s="71"/>
      <c r="D152" s="72"/>
      <c r="E152" s="12"/>
      <c r="F152" s="107"/>
      <c r="G152" s="11"/>
      <c r="H152" s="13"/>
      <c r="I152" s="14"/>
      <c r="J152" s="13"/>
      <c r="K152" s="10"/>
      <c r="L152" s="10"/>
      <c r="M152" s="7"/>
      <c r="N152" s="10"/>
      <c r="O152" s="1"/>
      <c r="P152" s="21"/>
      <c r="Q152" s="23" t="str">
        <f t="shared" si="6"/>
        <v/>
      </c>
      <c r="R152" s="7"/>
      <c r="S152" s="7"/>
      <c r="W152" s="7" t="str">
        <f t="shared" ref="W152:W215" si="7">IFERROR(VALUE(MID(P152,7,1)),"")</f>
        <v/>
      </c>
    </row>
    <row r="153" spans="2:23" customFormat="1">
      <c r="B153" s="71"/>
      <c r="C153" s="71"/>
      <c r="D153" s="72"/>
      <c r="E153" s="12"/>
      <c r="F153" s="107"/>
      <c r="G153" s="11"/>
      <c r="H153" s="13"/>
      <c r="I153" s="14"/>
      <c r="J153" s="13"/>
      <c r="K153" s="10"/>
      <c r="L153" s="10"/>
      <c r="M153" s="7"/>
      <c r="N153" s="10"/>
      <c r="O153" s="1"/>
      <c r="P153" s="21"/>
      <c r="Q153" s="23" t="str">
        <f t="shared" si="6"/>
        <v/>
      </c>
      <c r="R153" s="7"/>
      <c r="S153" s="7"/>
      <c r="W153" s="7" t="str">
        <f t="shared" si="7"/>
        <v/>
      </c>
    </row>
    <row r="154" spans="2:23" customFormat="1">
      <c r="B154" s="71"/>
      <c r="C154" s="71"/>
      <c r="D154" s="72"/>
      <c r="E154" s="12"/>
      <c r="F154" s="107"/>
      <c r="G154" s="11"/>
      <c r="H154" s="13"/>
      <c r="I154" s="14"/>
      <c r="J154" s="13"/>
      <c r="K154" s="10"/>
      <c r="L154" s="10"/>
      <c r="M154" s="7"/>
      <c r="N154" s="10"/>
      <c r="O154" s="1"/>
      <c r="P154" s="21"/>
      <c r="Q154" s="23" t="str">
        <f t="shared" si="6"/>
        <v/>
      </c>
      <c r="R154" s="7"/>
      <c r="S154" s="7"/>
      <c r="W154" s="7" t="str">
        <f t="shared" si="7"/>
        <v/>
      </c>
    </row>
    <row r="155" spans="2:23" customFormat="1">
      <c r="B155" s="71"/>
      <c r="C155" s="71"/>
      <c r="D155" s="72"/>
      <c r="E155" s="12"/>
      <c r="F155" s="107"/>
      <c r="G155" s="11"/>
      <c r="H155" s="13"/>
      <c r="I155" s="14"/>
      <c r="J155" s="13"/>
      <c r="K155" s="10"/>
      <c r="L155" s="10"/>
      <c r="M155" s="7"/>
      <c r="N155" s="10"/>
      <c r="O155" s="1"/>
      <c r="P155" s="21"/>
      <c r="Q155" s="23" t="str">
        <f t="shared" si="6"/>
        <v/>
      </c>
      <c r="R155" s="7"/>
      <c r="S155" s="7"/>
      <c r="W155" s="7" t="str">
        <f t="shared" si="7"/>
        <v/>
      </c>
    </row>
    <row r="156" spans="2:23" customFormat="1">
      <c r="B156" s="71"/>
      <c r="C156" s="71"/>
      <c r="D156" s="72"/>
      <c r="E156" s="12"/>
      <c r="F156" s="107"/>
      <c r="G156" s="11"/>
      <c r="H156" s="13"/>
      <c r="I156" s="14"/>
      <c r="J156" s="13"/>
      <c r="K156" s="10"/>
      <c r="L156" s="10"/>
      <c r="M156" s="7"/>
      <c r="N156" s="10"/>
      <c r="O156" s="1"/>
      <c r="P156" s="21"/>
      <c r="Q156" s="23" t="str">
        <f t="shared" si="6"/>
        <v/>
      </c>
      <c r="R156" s="7"/>
      <c r="S156" s="7"/>
      <c r="W156" s="7" t="str">
        <f t="shared" si="7"/>
        <v/>
      </c>
    </row>
    <row r="157" spans="2:23" customFormat="1">
      <c r="B157" s="71"/>
      <c r="C157" s="71"/>
      <c r="D157" s="72"/>
      <c r="E157" s="12"/>
      <c r="F157" s="107"/>
      <c r="G157" s="11"/>
      <c r="H157" s="13"/>
      <c r="I157" s="14"/>
      <c r="J157" s="13"/>
      <c r="K157" s="10"/>
      <c r="L157" s="10"/>
      <c r="M157" s="7"/>
      <c r="N157" s="10"/>
      <c r="O157" s="1"/>
      <c r="P157" s="21"/>
      <c r="Q157" s="23" t="str">
        <f t="shared" si="6"/>
        <v/>
      </c>
      <c r="R157" s="7"/>
      <c r="S157" s="7"/>
      <c r="W157" s="7" t="str">
        <f t="shared" si="7"/>
        <v/>
      </c>
    </row>
    <row r="158" spans="2:23" customFormat="1">
      <c r="B158" s="71"/>
      <c r="C158" s="71"/>
      <c r="D158" s="72"/>
      <c r="E158" s="12"/>
      <c r="F158" s="107"/>
      <c r="G158" s="11"/>
      <c r="H158" s="13"/>
      <c r="I158" s="14"/>
      <c r="J158" s="13"/>
      <c r="K158" s="10"/>
      <c r="L158" s="10"/>
      <c r="M158" s="7"/>
      <c r="N158" s="10"/>
      <c r="O158" s="1"/>
      <c r="P158" s="21"/>
      <c r="Q158" s="23" t="str">
        <f t="shared" si="6"/>
        <v/>
      </c>
      <c r="R158" s="7"/>
      <c r="S158" s="7"/>
      <c r="W158" s="7" t="str">
        <f t="shared" si="7"/>
        <v/>
      </c>
    </row>
    <row r="159" spans="2:23" customFormat="1">
      <c r="B159" s="71"/>
      <c r="C159" s="71"/>
      <c r="D159" s="72"/>
      <c r="E159" s="12"/>
      <c r="F159" s="107"/>
      <c r="G159" s="11"/>
      <c r="H159" s="13"/>
      <c r="I159" s="14"/>
      <c r="J159" s="13"/>
      <c r="K159" s="10"/>
      <c r="L159" s="10"/>
      <c r="M159" s="7"/>
      <c r="N159" s="10"/>
      <c r="O159" s="1"/>
      <c r="P159" s="21"/>
      <c r="Q159" s="23" t="str">
        <f t="shared" si="6"/>
        <v/>
      </c>
      <c r="R159" s="7"/>
      <c r="S159" s="7"/>
      <c r="W159" s="7" t="str">
        <f t="shared" si="7"/>
        <v/>
      </c>
    </row>
    <row r="160" spans="2:23" customFormat="1">
      <c r="B160" s="71"/>
      <c r="C160" s="71"/>
      <c r="D160" s="72"/>
      <c r="E160" s="12"/>
      <c r="F160" s="107"/>
      <c r="G160" s="11"/>
      <c r="H160" s="13"/>
      <c r="I160" s="14"/>
      <c r="J160" s="13"/>
      <c r="K160" s="10"/>
      <c r="L160" s="10"/>
      <c r="M160" s="7"/>
      <c r="N160" s="10"/>
      <c r="O160" s="1"/>
      <c r="P160" s="21"/>
      <c r="Q160" s="23" t="str">
        <f t="shared" si="6"/>
        <v/>
      </c>
      <c r="R160" s="7"/>
      <c r="S160" s="7"/>
      <c r="W160" s="7" t="str">
        <f t="shared" si="7"/>
        <v/>
      </c>
    </row>
    <row r="161" spans="2:23" customFormat="1">
      <c r="B161" s="71"/>
      <c r="C161" s="71"/>
      <c r="D161" s="72"/>
      <c r="E161" s="12"/>
      <c r="F161" s="107"/>
      <c r="G161" s="11"/>
      <c r="H161" s="13"/>
      <c r="I161" s="14"/>
      <c r="J161" s="13"/>
      <c r="K161" s="10"/>
      <c r="L161" s="10"/>
      <c r="M161" s="7"/>
      <c r="N161" s="10"/>
      <c r="O161" s="1"/>
      <c r="P161" s="21"/>
      <c r="Q161" s="23" t="str">
        <f t="shared" si="6"/>
        <v/>
      </c>
      <c r="R161" s="7"/>
      <c r="S161" s="7"/>
      <c r="W161" s="7" t="str">
        <f t="shared" si="7"/>
        <v/>
      </c>
    </row>
    <row r="162" spans="2:23" customFormat="1">
      <c r="B162" s="71"/>
      <c r="C162" s="71"/>
      <c r="D162" s="72"/>
      <c r="E162" s="12"/>
      <c r="F162" s="107"/>
      <c r="G162" s="11"/>
      <c r="H162" s="13"/>
      <c r="I162" s="14"/>
      <c r="J162" s="13"/>
      <c r="K162" s="10"/>
      <c r="L162" s="10"/>
      <c r="M162" s="7"/>
      <c r="N162" s="10"/>
      <c r="O162" s="1"/>
      <c r="P162" s="21"/>
      <c r="Q162" s="23" t="str">
        <f t="shared" si="6"/>
        <v/>
      </c>
      <c r="R162" s="7"/>
      <c r="S162" s="7"/>
      <c r="W162" s="7" t="str">
        <f t="shared" si="7"/>
        <v/>
      </c>
    </row>
    <row r="163" spans="2:23" customFormat="1">
      <c r="B163" s="71"/>
      <c r="C163" s="71"/>
      <c r="D163" s="72"/>
      <c r="E163" s="12"/>
      <c r="F163" s="107"/>
      <c r="G163" s="11"/>
      <c r="H163" s="13"/>
      <c r="I163" s="14"/>
      <c r="J163" s="13"/>
      <c r="K163" s="10"/>
      <c r="L163" s="10"/>
      <c r="M163" s="7"/>
      <c r="N163" s="10"/>
      <c r="O163" s="1"/>
      <c r="P163" s="21"/>
      <c r="Q163" s="23" t="str">
        <f t="shared" si="6"/>
        <v/>
      </c>
      <c r="R163" s="7"/>
      <c r="S163" s="7"/>
      <c r="W163" s="7" t="str">
        <f t="shared" si="7"/>
        <v/>
      </c>
    </row>
    <row r="164" spans="2:23" customFormat="1">
      <c r="B164" s="71"/>
      <c r="C164" s="71"/>
      <c r="D164" s="72"/>
      <c r="E164" s="12"/>
      <c r="F164" s="107"/>
      <c r="G164" s="11"/>
      <c r="H164" s="13"/>
      <c r="I164" s="14"/>
      <c r="J164" s="13"/>
      <c r="K164" s="10"/>
      <c r="L164" s="10"/>
      <c r="M164" s="7"/>
      <c r="N164" s="10"/>
      <c r="O164" s="1"/>
      <c r="P164" s="21"/>
      <c r="Q164" s="23" t="str">
        <f t="shared" si="6"/>
        <v/>
      </c>
      <c r="R164" s="7"/>
      <c r="S164" s="7"/>
      <c r="W164" s="7" t="str">
        <f t="shared" si="7"/>
        <v/>
      </c>
    </row>
    <row r="165" spans="2:23" customFormat="1">
      <c r="B165" s="71"/>
      <c r="C165" s="71"/>
      <c r="D165" s="72"/>
      <c r="E165" s="12"/>
      <c r="F165" s="107"/>
      <c r="G165" s="11"/>
      <c r="H165" s="13"/>
      <c r="I165" s="14"/>
      <c r="J165" s="13"/>
      <c r="K165" s="10"/>
      <c r="L165" s="10"/>
      <c r="M165" s="7"/>
      <c r="N165" s="10"/>
      <c r="O165" s="1"/>
      <c r="P165" s="21"/>
      <c r="Q165" s="23" t="str">
        <f t="shared" si="6"/>
        <v/>
      </c>
      <c r="R165" s="7"/>
      <c r="S165" s="7"/>
      <c r="W165" s="7" t="str">
        <f t="shared" si="7"/>
        <v/>
      </c>
    </row>
    <row r="166" spans="2:23" customFormat="1">
      <c r="B166" s="71"/>
      <c r="C166" s="71"/>
      <c r="D166" s="72"/>
      <c r="E166" s="12"/>
      <c r="F166" s="107"/>
      <c r="G166" s="11"/>
      <c r="H166" s="13"/>
      <c r="I166" s="14"/>
      <c r="J166" s="13"/>
      <c r="K166" s="10"/>
      <c r="L166" s="10"/>
      <c r="M166" s="7"/>
      <c r="N166" s="10"/>
      <c r="O166" s="1"/>
      <c r="P166" s="21"/>
      <c r="Q166" s="23" t="str">
        <f t="shared" si="6"/>
        <v/>
      </c>
      <c r="R166" s="7"/>
      <c r="S166" s="7"/>
      <c r="W166" s="7" t="str">
        <f t="shared" si="7"/>
        <v/>
      </c>
    </row>
    <row r="167" spans="2:23" customFormat="1">
      <c r="B167" s="71"/>
      <c r="C167" s="71"/>
      <c r="D167" s="72"/>
      <c r="E167" s="12"/>
      <c r="F167" s="107"/>
      <c r="G167" s="11"/>
      <c r="H167" s="13"/>
      <c r="I167" s="14"/>
      <c r="J167" s="13"/>
      <c r="K167" s="10"/>
      <c r="L167" s="10"/>
      <c r="M167" s="7"/>
      <c r="N167" s="10"/>
      <c r="O167" s="1"/>
      <c r="P167" s="21"/>
      <c r="Q167" s="23" t="str">
        <f t="shared" si="6"/>
        <v/>
      </c>
      <c r="R167" s="7"/>
      <c r="S167" s="7"/>
      <c r="W167" s="7" t="str">
        <f t="shared" si="7"/>
        <v/>
      </c>
    </row>
    <row r="168" spans="2:23" customFormat="1">
      <c r="B168" s="71"/>
      <c r="C168" s="71"/>
      <c r="D168" s="72"/>
      <c r="E168" s="12"/>
      <c r="F168" s="107"/>
      <c r="G168" s="11"/>
      <c r="H168" s="13"/>
      <c r="I168" s="14"/>
      <c r="J168" s="13"/>
      <c r="K168" s="10"/>
      <c r="L168" s="10"/>
      <c r="M168" s="7"/>
      <c r="N168" s="10"/>
      <c r="O168" s="1"/>
      <c r="P168" s="21"/>
      <c r="Q168" s="23" t="str">
        <f t="shared" si="6"/>
        <v/>
      </c>
      <c r="R168" s="7"/>
      <c r="S168" s="7"/>
      <c r="W168" s="7" t="str">
        <f t="shared" si="7"/>
        <v/>
      </c>
    </row>
    <row r="169" spans="2:23" customFormat="1">
      <c r="B169" s="71"/>
      <c r="C169" s="71"/>
      <c r="D169" s="72"/>
      <c r="E169" s="12"/>
      <c r="F169" s="107"/>
      <c r="G169" s="11"/>
      <c r="H169" s="13"/>
      <c r="I169" s="14"/>
      <c r="J169" s="13"/>
      <c r="K169" s="10"/>
      <c r="L169" s="10"/>
      <c r="M169" s="7"/>
      <c r="N169" s="10"/>
      <c r="O169" s="1"/>
      <c r="P169" s="21"/>
      <c r="Q169" s="23" t="str">
        <f t="shared" si="6"/>
        <v/>
      </c>
      <c r="R169" s="7"/>
      <c r="S169" s="7"/>
      <c r="W169" s="7" t="str">
        <f t="shared" si="7"/>
        <v/>
      </c>
    </row>
    <row r="170" spans="2:23" customFormat="1">
      <c r="B170" s="71"/>
      <c r="C170" s="71"/>
      <c r="D170" s="72"/>
      <c r="E170" s="12"/>
      <c r="F170" s="107"/>
      <c r="G170" s="11"/>
      <c r="H170" s="13"/>
      <c r="I170" s="14"/>
      <c r="J170" s="13"/>
      <c r="K170" s="10"/>
      <c r="L170" s="10"/>
      <c r="M170" s="7"/>
      <c r="N170" s="10"/>
      <c r="O170" s="1"/>
      <c r="P170" s="21"/>
      <c r="Q170" s="23" t="str">
        <f t="shared" si="6"/>
        <v/>
      </c>
      <c r="R170" s="7"/>
      <c r="S170" s="7"/>
      <c r="W170" s="7" t="str">
        <f t="shared" si="7"/>
        <v/>
      </c>
    </row>
    <row r="171" spans="2:23" customFormat="1">
      <c r="B171" s="71"/>
      <c r="C171" s="71"/>
      <c r="D171" s="72"/>
      <c r="E171" s="12"/>
      <c r="F171" s="107"/>
      <c r="G171" s="11"/>
      <c r="H171" s="13"/>
      <c r="I171" s="14"/>
      <c r="J171" s="13"/>
      <c r="K171" s="10"/>
      <c r="L171" s="10"/>
      <c r="M171" s="7"/>
      <c r="N171" s="10"/>
      <c r="O171" s="1"/>
      <c r="P171" s="21"/>
      <c r="Q171" s="23" t="str">
        <f t="shared" si="6"/>
        <v/>
      </c>
      <c r="R171" s="7"/>
      <c r="S171" s="7"/>
      <c r="W171" s="7" t="str">
        <f t="shared" si="7"/>
        <v/>
      </c>
    </row>
    <row r="172" spans="2:23" customFormat="1">
      <c r="B172" s="71"/>
      <c r="C172" s="71"/>
      <c r="D172" s="72"/>
      <c r="E172" s="12"/>
      <c r="F172" s="107"/>
      <c r="G172" s="11"/>
      <c r="H172" s="13"/>
      <c r="I172" s="14"/>
      <c r="J172" s="13"/>
      <c r="K172" s="10"/>
      <c r="L172" s="10"/>
      <c r="M172" s="7"/>
      <c r="N172" s="10"/>
      <c r="O172" s="1"/>
      <c r="P172" s="21"/>
      <c r="Q172" s="23" t="str">
        <f t="shared" si="6"/>
        <v/>
      </c>
      <c r="R172" s="7"/>
      <c r="S172" s="7"/>
      <c r="W172" s="7" t="str">
        <f t="shared" si="7"/>
        <v/>
      </c>
    </row>
    <row r="173" spans="2:23" customFormat="1">
      <c r="B173" s="71"/>
      <c r="C173" s="71"/>
      <c r="D173" s="72"/>
      <c r="E173" s="12"/>
      <c r="F173" s="107"/>
      <c r="G173" s="11"/>
      <c r="H173" s="13"/>
      <c r="I173" s="14"/>
      <c r="J173" s="13"/>
      <c r="K173" s="10"/>
      <c r="L173" s="10"/>
      <c r="M173" s="7"/>
      <c r="N173" s="10"/>
      <c r="O173" s="1"/>
      <c r="P173" s="21"/>
      <c r="Q173" s="23" t="str">
        <f t="shared" si="6"/>
        <v/>
      </c>
      <c r="R173" s="7"/>
      <c r="S173" s="7"/>
      <c r="W173" s="7" t="str">
        <f t="shared" si="7"/>
        <v/>
      </c>
    </row>
    <row r="174" spans="2:23" customFormat="1">
      <c r="B174" s="71"/>
      <c r="C174" s="71"/>
      <c r="D174" s="72"/>
      <c r="E174" s="12"/>
      <c r="F174" s="107"/>
      <c r="G174" s="11"/>
      <c r="H174" s="13"/>
      <c r="I174" s="14"/>
      <c r="J174" s="13"/>
      <c r="K174" s="10"/>
      <c r="L174" s="10"/>
      <c r="M174" s="7"/>
      <c r="N174" s="10"/>
      <c r="O174" s="1"/>
      <c r="P174" s="21"/>
      <c r="Q174" s="23" t="str">
        <f t="shared" si="6"/>
        <v/>
      </c>
      <c r="R174" s="7"/>
      <c r="S174" s="7"/>
      <c r="W174" s="7" t="str">
        <f t="shared" si="7"/>
        <v/>
      </c>
    </row>
    <row r="175" spans="2:23" customFormat="1">
      <c r="B175" s="71"/>
      <c r="C175" s="71"/>
      <c r="D175" s="72"/>
      <c r="E175" s="12"/>
      <c r="F175" s="107"/>
      <c r="G175" s="11"/>
      <c r="H175" s="13"/>
      <c r="I175" s="14"/>
      <c r="J175" s="13"/>
      <c r="K175" s="10"/>
      <c r="L175" s="10"/>
      <c r="M175" s="7"/>
      <c r="N175" s="10"/>
      <c r="O175" s="1"/>
      <c r="P175" s="21"/>
      <c r="Q175" s="23" t="str">
        <f t="shared" si="6"/>
        <v/>
      </c>
      <c r="R175" s="7"/>
      <c r="S175" s="7"/>
      <c r="W175" s="7" t="str">
        <f t="shared" si="7"/>
        <v/>
      </c>
    </row>
    <row r="176" spans="2:23" customFormat="1">
      <c r="B176" s="71"/>
      <c r="C176" s="71"/>
      <c r="D176" s="72"/>
      <c r="E176" s="12"/>
      <c r="F176" s="107"/>
      <c r="G176" s="11"/>
      <c r="H176" s="13"/>
      <c r="I176" s="14"/>
      <c r="J176" s="13"/>
      <c r="K176" s="10"/>
      <c r="L176" s="10"/>
      <c r="M176" s="7"/>
      <c r="N176" s="10"/>
      <c r="O176" s="1"/>
      <c r="P176" s="21"/>
      <c r="Q176" s="23" t="str">
        <f t="shared" si="6"/>
        <v/>
      </c>
      <c r="R176" s="7"/>
      <c r="S176" s="7"/>
      <c r="W176" s="7" t="str">
        <f t="shared" si="7"/>
        <v/>
      </c>
    </row>
    <row r="177" spans="2:23" customFormat="1">
      <c r="B177" s="71"/>
      <c r="C177" s="71"/>
      <c r="D177" s="72"/>
      <c r="E177" s="12"/>
      <c r="F177" s="107"/>
      <c r="G177" s="11"/>
      <c r="H177" s="13"/>
      <c r="I177" s="14"/>
      <c r="J177" s="13"/>
      <c r="K177" s="10"/>
      <c r="L177" s="10"/>
      <c r="M177" s="7"/>
      <c r="N177" s="10"/>
      <c r="O177" s="1"/>
      <c r="P177" s="21"/>
      <c r="Q177" s="23" t="str">
        <f t="shared" si="6"/>
        <v/>
      </c>
      <c r="R177" s="7"/>
      <c r="S177" s="7"/>
      <c r="W177" s="7" t="str">
        <f t="shared" si="7"/>
        <v/>
      </c>
    </row>
    <row r="178" spans="2:23" customFormat="1">
      <c r="B178" s="71"/>
      <c r="C178" s="71"/>
      <c r="D178" s="72"/>
      <c r="E178" s="12"/>
      <c r="F178" s="107"/>
      <c r="G178" s="11"/>
      <c r="H178" s="13"/>
      <c r="I178" s="14"/>
      <c r="J178" s="13"/>
      <c r="K178" s="10"/>
      <c r="L178" s="10"/>
      <c r="M178" s="7"/>
      <c r="N178" s="10"/>
      <c r="O178" s="1"/>
      <c r="P178" s="21"/>
      <c r="Q178" s="23" t="str">
        <f t="shared" si="6"/>
        <v/>
      </c>
      <c r="R178" s="7"/>
      <c r="S178" s="7"/>
      <c r="W178" s="7" t="str">
        <f t="shared" si="7"/>
        <v/>
      </c>
    </row>
    <row r="179" spans="2:23" customFormat="1">
      <c r="B179" s="71"/>
      <c r="C179" s="71"/>
      <c r="D179" s="72"/>
      <c r="E179" s="12"/>
      <c r="F179" s="107"/>
      <c r="G179" s="11"/>
      <c r="H179" s="13"/>
      <c r="I179" s="14"/>
      <c r="J179" s="13"/>
      <c r="K179" s="10"/>
      <c r="L179" s="10"/>
      <c r="M179" s="7"/>
      <c r="N179" s="10"/>
      <c r="O179" s="1"/>
      <c r="P179" s="21"/>
      <c r="Q179" s="23" t="str">
        <f t="shared" si="6"/>
        <v/>
      </c>
      <c r="R179" s="7"/>
      <c r="S179" s="7"/>
      <c r="W179" s="7" t="str">
        <f t="shared" si="7"/>
        <v/>
      </c>
    </row>
    <row r="180" spans="2:23" customFormat="1">
      <c r="B180" s="71"/>
      <c r="C180" s="71"/>
      <c r="D180" s="72"/>
      <c r="E180" s="12"/>
      <c r="F180" s="107"/>
      <c r="G180" s="11"/>
      <c r="H180" s="13"/>
      <c r="I180" s="14"/>
      <c r="J180" s="13"/>
      <c r="K180" s="10"/>
      <c r="L180" s="10"/>
      <c r="M180" s="7"/>
      <c r="N180" s="10"/>
      <c r="O180" s="1"/>
      <c r="P180" s="21"/>
      <c r="Q180" s="23" t="str">
        <f t="shared" si="6"/>
        <v/>
      </c>
      <c r="R180" s="7"/>
      <c r="S180" s="7"/>
      <c r="W180" s="7" t="str">
        <f t="shared" si="7"/>
        <v/>
      </c>
    </row>
    <row r="181" spans="2:23" customFormat="1">
      <c r="B181" s="71"/>
      <c r="C181" s="71"/>
      <c r="D181" s="72"/>
      <c r="E181" s="12"/>
      <c r="F181" s="107"/>
      <c r="G181" s="11"/>
      <c r="H181" s="13"/>
      <c r="I181" s="14"/>
      <c r="J181" s="13"/>
      <c r="K181" s="10"/>
      <c r="L181" s="10"/>
      <c r="M181" s="7"/>
      <c r="N181" s="10"/>
      <c r="O181" s="1"/>
      <c r="P181" s="21"/>
      <c r="Q181" s="23" t="str">
        <f t="shared" si="6"/>
        <v/>
      </c>
      <c r="R181" s="7"/>
      <c r="S181" s="7"/>
      <c r="W181" s="7" t="str">
        <f t="shared" si="7"/>
        <v/>
      </c>
    </row>
    <row r="182" spans="2:23" customFormat="1">
      <c r="B182" s="71"/>
      <c r="C182" s="71"/>
      <c r="D182" s="72"/>
      <c r="E182" s="12"/>
      <c r="F182" s="107"/>
      <c r="G182" s="11"/>
      <c r="H182" s="13"/>
      <c r="I182" s="14"/>
      <c r="J182" s="13"/>
      <c r="K182" s="10"/>
      <c r="L182" s="10"/>
      <c r="M182" s="7"/>
      <c r="N182" s="10"/>
      <c r="O182" s="1"/>
      <c r="P182" s="21"/>
      <c r="Q182" s="23" t="str">
        <f t="shared" si="6"/>
        <v/>
      </c>
      <c r="R182" s="7"/>
      <c r="S182" s="7"/>
      <c r="W182" s="7" t="str">
        <f t="shared" si="7"/>
        <v/>
      </c>
    </row>
    <row r="183" spans="2:23" customFormat="1">
      <c r="B183" s="71"/>
      <c r="C183" s="71"/>
      <c r="D183" s="72"/>
      <c r="E183" s="12"/>
      <c r="F183" s="107"/>
      <c r="G183" s="11"/>
      <c r="H183" s="13"/>
      <c r="I183" s="14"/>
      <c r="J183" s="13"/>
      <c r="K183" s="10"/>
      <c r="L183" s="10"/>
      <c r="M183" s="7"/>
      <c r="N183" s="10"/>
      <c r="O183" s="1"/>
      <c r="P183" s="21"/>
      <c r="Q183" s="23" t="str">
        <f t="shared" si="6"/>
        <v/>
      </c>
      <c r="R183" s="7"/>
      <c r="S183" s="7"/>
      <c r="W183" s="7" t="str">
        <f t="shared" si="7"/>
        <v/>
      </c>
    </row>
    <row r="184" spans="2:23" customFormat="1">
      <c r="B184" s="71"/>
      <c r="C184" s="71"/>
      <c r="D184" s="72"/>
      <c r="E184" s="12"/>
      <c r="F184" s="107"/>
      <c r="G184" s="11"/>
      <c r="H184" s="13"/>
      <c r="I184" s="14"/>
      <c r="J184" s="13"/>
      <c r="K184" s="10"/>
      <c r="L184" s="10"/>
      <c r="M184" s="7"/>
      <c r="N184" s="10"/>
      <c r="O184" s="1"/>
      <c r="P184" s="21"/>
      <c r="Q184" s="23" t="str">
        <f t="shared" si="6"/>
        <v/>
      </c>
      <c r="R184" s="7"/>
      <c r="S184" s="7"/>
      <c r="W184" s="7" t="str">
        <f t="shared" si="7"/>
        <v/>
      </c>
    </row>
    <row r="185" spans="2:23" customFormat="1">
      <c r="B185" s="71"/>
      <c r="C185" s="71"/>
      <c r="D185" s="72"/>
      <c r="E185" s="12"/>
      <c r="F185" s="107"/>
      <c r="G185" s="11"/>
      <c r="H185" s="13"/>
      <c r="I185" s="14"/>
      <c r="J185" s="13"/>
      <c r="K185" s="10"/>
      <c r="L185" s="10"/>
      <c r="M185" s="7"/>
      <c r="N185" s="10"/>
      <c r="O185" s="1"/>
      <c r="P185" s="21"/>
      <c r="Q185" s="23" t="str">
        <f t="shared" si="6"/>
        <v/>
      </c>
      <c r="R185" s="7"/>
      <c r="S185" s="7"/>
      <c r="W185" s="7" t="str">
        <f t="shared" si="7"/>
        <v/>
      </c>
    </row>
    <row r="186" spans="2:23" customFormat="1">
      <c r="B186" s="71"/>
      <c r="C186" s="71"/>
      <c r="D186" s="72"/>
      <c r="E186" s="12"/>
      <c r="F186" s="107"/>
      <c r="G186" s="11"/>
      <c r="H186" s="13"/>
      <c r="I186" s="14"/>
      <c r="J186" s="13"/>
      <c r="K186" s="10"/>
      <c r="L186" s="10"/>
      <c r="M186" s="7"/>
      <c r="N186" s="10"/>
      <c r="O186" s="1"/>
      <c r="P186" s="21"/>
      <c r="Q186" s="23" t="str">
        <f t="shared" si="6"/>
        <v/>
      </c>
      <c r="R186" s="7"/>
      <c r="S186" s="7"/>
      <c r="W186" s="7" t="str">
        <f t="shared" si="7"/>
        <v/>
      </c>
    </row>
    <row r="187" spans="2:23" customFormat="1">
      <c r="B187" s="71"/>
      <c r="C187" s="71"/>
      <c r="D187" s="72"/>
      <c r="E187" s="12"/>
      <c r="F187" s="107"/>
      <c r="G187" s="11"/>
      <c r="H187" s="13"/>
      <c r="I187" s="14"/>
      <c r="J187" s="13"/>
      <c r="K187" s="10"/>
      <c r="L187" s="10"/>
      <c r="M187" s="7"/>
      <c r="N187" s="10"/>
      <c r="O187" s="1"/>
      <c r="P187" s="21"/>
      <c r="Q187" s="23" t="str">
        <f t="shared" si="6"/>
        <v/>
      </c>
      <c r="R187" s="7"/>
      <c r="S187" s="7"/>
      <c r="W187" s="7" t="str">
        <f t="shared" si="7"/>
        <v/>
      </c>
    </row>
    <row r="188" spans="2:23" customFormat="1">
      <c r="B188" s="71"/>
      <c r="C188" s="71"/>
      <c r="D188" s="72"/>
      <c r="E188" s="12"/>
      <c r="F188" s="107"/>
      <c r="G188" s="11"/>
      <c r="H188" s="13"/>
      <c r="I188" s="14"/>
      <c r="J188" s="13"/>
      <c r="K188" s="10"/>
      <c r="L188" s="10"/>
      <c r="M188" s="7"/>
      <c r="N188" s="10"/>
      <c r="O188" s="1"/>
      <c r="P188" s="21"/>
      <c r="Q188" s="23" t="str">
        <f t="shared" si="6"/>
        <v/>
      </c>
      <c r="R188" s="7"/>
      <c r="S188" s="7"/>
      <c r="W188" s="7" t="str">
        <f t="shared" si="7"/>
        <v/>
      </c>
    </row>
    <row r="189" spans="2:23" customFormat="1">
      <c r="B189" s="71"/>
      <c r="C189" s="71"/>
      <c r="D189" s="72"/>
      <c r="E189" s="12"/>
      <c r="F189" s="107"/>
      <c r="G189" s="11"/>
      <c r="H189" s="13"/>
      <c r="I189" s="14"/>
      <c r="J189" s="13"/>
      <c r="K189" s="10"/>
      <c r="L189" s="10"/>
      <c r="M189" s="7"/>
      <c r="N189" s="10"/>
      <c r="O189" s="1"/>
      <c r="P189" s="21"/>
      <c r="Q189" s="23" t="str">
        <f t="shared" si="6"/>
        <v/>
      </c>
      <c r="R189" s="7"/>
      <c r="S189" s="7"/>
      <c r="W189" s="7" t="str">
        <f t="shared" si="7"/>
        <v/>
      </c>
    </row>
    <row r="190" spans="2:23" customFormat="1">
      <c r="B190" s="71"/>
      <c r="C190" s="71"/>
      <c r="D190" s="72"/>
      <c r="E190" s="12"/>
      <c r="F190" s="107"/>
      <c r="G190" s="11"/>
      <c r="H190" s="13"/>
      <c r="I190" s="14"/>
      <c r="J190" s="13"/>
      <c r="K190" s="10"/>
      <c r="L190" s="10"/>
      <c r="M190" s="7"/>
      <c r="N190" s="10"/>
      <c r="O190" s="1"/>
      <c r="P190" s="21"/>
      <c r="Q190" s="23" t="str">
        <f t="shared" si="6"/>
        <v/>
      </c>
      <c r="R190" s="7"/>
      <c r="S190" s="7"/>
      <c r="W190" s="7" t="str">
        <f t="shared" si="7"/>
        <v/>
      </c>
    </row>
    <row r="191" spans="2:23" customFormat="1">
      <c r="B191" s="71"/>
      <c r="C191" s="71"/>
      <c r="D191" s="72"/>
      <c r="E191" s="12"/>
      <c r="F191" s="107"/>
      <c r="G191" s="11"/>
      <c r="H191" s="13"/>
      <c r="I191" s="14"/>
      <c r="J191" s="13"/>
      <c r="K191" s="10"/>
      <c r="L191" s="10"/>
      <c r="M191" s="7"/>
      <c r="N191" s="10"/>
      <c r="O191" s="1"/>
      <c r="P191" s="21"/>
      <c r="Q191" s="23" t="str">
        <f t="shared" si="6"/>
        <v/>
      </c>
      <c r="R191" s="7"/>
      <c r="S191" s="7"/>
      <c r="W191" s="7" t="str">
        <f t="shared" si="7"/>
        <v/>
      </c>
    </row>
    <row r="192" spans="2:23" customFormat="1">
      <c r="B192" s="71"/>
      <c r="C192" s="71"/>
      <c r="D192" s="72"/>
      <c r="E192" s="12"/>
      <c r="F192" s="107"/>
      <c r="G192" s="11"/>
      <c r="H192" s="13"/>
      <c r="I192" s="14"/>
      <c r="J192" s="13"/>
      <c r="K192" s="10"/>
      <c r="L192" s="10"/>
      <c r="M192" s="7"/>
      <c r="N192" s="10"/>
      <c r="O192" s="1"/>
      <c r="P192" s="21"/>
      <c r="Q192" s="23" t="str">
        <f t="shared" si="6"/>
        <v/>
      </c>
      <c r="R192" s="7"/>
      <c r="S192" s="7"/>
      <c r="W192" s="7" t="str">
        <f t="shared" si="7"/>
        <v/>
      </c>
    </row>
    <row r="193" spans="2:23" customFormat="1">
      <c r="B193" s="71"/>
      <c r="C193" s="71"/>
      <c r="D193" s="72"/>
      <c r="E193" s="12"/>
      <c r="F193" s="107"/>
      <c r="G193" s="11"/>
      <c r="H193" s="13"/>
      <c r="I193" s="14"/>
      <c r="J193" s="13"/>
      <c r="K193" s="10"/>
      <c r="L193" s="10"/>
      <c r="M193" s="7"/>
      <c r="N193" s="10"/>
      <c r="O193" s="1"/>
      <c r="P193" s="21"/>
      <c r="Q193" s="23" t="str">
        <f t="shared" si="6"/>
        <v/>
      </c>
      <c r="R193" s="7"/>
      <c r="S193" s="7"/>
      <c r="W193" s="7" t="str">
        <f t="shared" si="7"/>
        <v/>
      </c>
    </row>
    <row r="194" spans="2:23" customFormat="1">
      <c r="B194" s="71"/>
      <c r="C194" s="71"/>
      <c r="D194" s="72"/>
      <c r="E194" s="12"/>
      <c r="F194" s="107"/>
      <c r="G194" s="11"/>
      <c r="H194" s="13"/>
      <c r="I194" s="14"/>
      <c r="J194" s="13"/>
      <c r="K194" s="10"/>
      <c r="L194" s="10"/>
      <c r="M194" s="7"/>
      <c r="N194" s="10"/>
      <c r="O194" s="1"/>
      <c r="P194" s="21"/>
      <c r="Q194" s="23" t="str">
        <f t="shared" si="6"/>
        <v/>
      </c>
      <c r="R194" s="7"/>
      <c r="S194" s="7"/>
      <c r="W194" s="7" t="str">
        <f t="shared" si="7"/>
        <v/>
      </c>
    </row>
    <row r="195" spans="2:23" customFormat="1">
      <c r="B195" s="71"/>
      <c r="C195" s="71"/>
      <c r="D195" s="72"/>
      <c r="E195" s="12"/>
      <c r="F195" s="107"/>
      <c r="G195" s="11"/>
      <c r="H195" s="13"/>
      <c r="I195" s="14"/>
      <c r="J195" s="13"/>
      <c r="K195" s="10"/>
      <c r="L195" s="10"/>
      <c r="M195" s="7"/>
      <c r="N195" s="10"/>
      <c r="O195" s="1"/>
      <c r="P195" s="21"/>
      <c r="Q195" s="23" t="str">
        <f t="shared" si="6"/>
        <v/>
      </c>
      <c r="R195" s="7"/>
      <c r="S195" s="7"/>
      <c r="W195" s="7" t="str">
        <f t="shared" si="7"/>
        <v/>
      </c>
    </row>
    <row r="196" spans="2:23" customFormat="1">
      <c r="B196" s="71"/>
      <c r="C196" s="71"/>
      <c r="D196" s="72"/>
      <c r="E196" s="12"/>
      <c r="F196" s="107"/>
      <c r="G196" s="11"/>
      <c r="H196" s="13"/>
      <c r="I196" s="14"/>
      <c r="J196" s="13"/>
      <c r="K196" s="10"/>
      <c r="L196" s="10"/>
      <c r="M196" s="7"/>
      <c r="N196" s="10"/>
      <c r="O196" s="1"/>
      <c r="P196" s="21"/>
      <c r="Q196" s="23" t="str">
        <f t="shared" si="6"/>
        <v/>
      </c>
      <c r="R196" s="7"/>
      <c r="S196" s="7"/>
      <c r="W196" s="7" t="str">
        <f t="shared" si="7"/>
        <v/>
      </c>
    </row>
    <row r="197" spans="2:23" customFormat="1">
      <c r="B197" s="71"/>
      <c r="C197" s="71"/>
      <c r="D197" s="72"/>
      <c r="E197" s="12"/>
      <c r="F197" s="107"/>
      <c r="G197" s="11"/>
      <c r="H197" s="13"/>
      <c r="I197" s="14"/>
      <c r="J197" s="13"/>
      <c r="K197" s="10"/>
      <c r="L197" s="10"/>
      <c r="M197" s="7"/>
      <c r="N197" s="10"/>
      <c r="O197" s="1"/>
      <c r="P197" s="21"/>
      <c r="Q197" s="23" t="str">
        <f t="shared" si="6"/>
        <v/>
      </c>
      <c r="R197" s="7"/>
      <c r="S197" s="7"/>
      <c r="W197" s="7" t="str">
        <f t="shared" si="7"/>
        <v/>
      </c>
    </row>
    <row r="198" spans="2:23" customFormat="1">
      <c r="B198" s="71"/>
      <c r="C198" s="71"/>
      <c r="D198" s="72"/>
      <c r="E198" s="12"/>
      <c r="F198" s="107"/>
      <c r="G198" s="11"/>
      <c r="H198" s="13"/>
      <c r="I198" s="14"/>
      <c r="J198" s="13"/>
      <c r="K198" s="10"/>
      <c r="L198" s="10"/>
      <c r="M198" s="7"/>
      <c r="N198" s="10"/>
      <c r="O198" s="1"/>
      <c r="P198" s="21"/>
      <c r="Q198" s="23" t="str">
        <f t="shared" si="6"/>
        <v/>
      </c>
      <c r="R198" s="7"/>
      <c r="S198" s="7"/>
      <c r="W198" s="7" t="str">
        <f t="shared" si="7"/>
        <v/>
      </c>
    </row>
    <row r="199" spans="2:23" customFormat="1">
      <c r="B199" s="71"/>
      <c r="C199" s="71"/>
      <c r="D199" s="72"/>
      <c r="E199" s="12"/>
      <c r="F199" s="107"/>
      <c r="G199" s="11"/>
      <c r="H199" s="13"/>
      <c r="I199" s="14"/>
      <c r="J199" s="13"/>
      <c r="K199" s="10"/>
      <c r="L199" s="10"/>
      <c r="M199" s="7"/>
      <c r="N199" s="10"/>
      <c r="O199" s="1"/>
      <c r="P199" s="21"/>
      <c r="Q199" s="23" t="str">
        <f t="shared" si="6"/>
        <v/>
      </c>
      <c r="R199" s="7"/>
      <c r="S199" s="7"/>
      <c r="W199" s="7" t="str">
        <f t="shared" si="7"/>
        <v/>
      </c>
    </row>
    <row r="200" spans="2:23" customFormat="1">
      <c r="B200" s="71"/>
      <c r="C200" s="71"/>
      <c r="D200" s="72"/>
      <c r="E200" s="12"/>
      <c r="F200" s="107"/>
      <c r="G200" s="11"/>
      <c r="H200" s="13"/>
      <c r="I200" s="14"/>
      <c r="J200" s="13"/>
      <c r="K200" s="10"/>
      <c r="L200" s="10"/>
      <c r="M200" s="7"/>
      <c r="N200" s="10"/>
      <c r="O200" s="1"/>
      <c r="P200" s="21"/>
      <c r="Q200" s="23" t="str">
        <f t="shared" si="6"/>
        <v/>
      </c>
      <c r="R200" s="7"/>
      <c r="S200" s="7"/>
      <c r="W200" s="7" t="str">
        <f t="shared" si="7"/>
        <v/>
      </c>
    </row>
    <row r="201" spans="2:23" customFormat="1">
      <c r="B201" s="71"/>
      <c r="C201" s="71"/>
      <c r="D201" s="72"/>
      <c r="E201" s="12"/>
      <c r="F201" s="107"/>
      <c r="G201" s="11"/>
      <c r="H201" s="13"/>
      <c r="I201" s="14"/>
      <c r="J201" s="13"/>
      <c r="K201" s="10"/>
      <c r="L201" s="10"/>
      <c r="M201" s="7"/>
      <c r="N201" s="10"/>
      <c r="O201" s="1"/>
      <c r="P201" s="21"/>
      <c r="Q201" s="23" t="str">
        <f t="shared" si="6"/>
        <v/>
      </c>
      <c r="R201" s="7"/>
      <c r="S201" s="7"/>
      <c r="W201" s="7" t="str">
        <f t="shared" si="7"/>
        <v/>
      </c>
    </row>
    <row r="202" spans="2:23" customFormat="1">
      <c r="B202" s="71"/>
      <c r="C202" s="71"/>
      <c r="D202" s="72"/>
      <c r="E202" s="12"/>
      <c r="F202" s="107"/>
      <c r="G202" s="11"/>
      <c r="H202" s="13"/>
      <c r="I202" s="14"/>
      <c r="J202" s="13"/>
      <c r="K202" s="10"/>
      <c r="L202" s="10"/>
      <c r="M202" s="7"/>
      <c r="N202" s="10"/>
      <c r="O202" s="1"/>
      <c r="P202" s="21"/>
      <c r="Q202" s="23" t="str">
        <f t="shared" si="6"/>
        <v/>
      </c>
      <c r="R202" s="7"/>
      <c r="S202" s="7"/>
      <c r="W202" s="7" t="str">
        <f t="shared" si="7"/>
        <v/>
      </c>
    </row>
    <row r="203" spans="2:23" customFormat="1">
      <c r="B203" s="71"/>
      <c r="C203" s="71"/>
      <c r="D203" s="72"/>
      <c r="E203" s="12"/>
      <c r="F203" s="107"/>
      <c r="G203" s="11"/>
      <c r="H203" s="13"/>
      <c r="I203" s="14"/>
      <c r="J203" s="13"/>
      <c r="K203" s="10"/>
      <c r="L203" s="10"/>
      <c r="M203" s="7"/>
      <c r="N203" s="10"/>
      <c r="O203" s="1"/>
      <c r="P203" s="21"/>
      <c r="Q203" s="23" t="str">
        <f t="shared" si="6"/>
        <v/>
      </c>
      <c r="R203" s="7"/>
      <c r="S203" s="7"/>
      <c r="W203" s="7" t="str">
        <f t="shared" si="7"/>
        <v/>
      </c>
    </row>
    <row r="204" spans="2:23" customFormat="1">
      <c r="B204" s="71"/>
      <c r="C204" s="71"/>
      <c r="D204" s="72"/>
      <c r="E204" s="12"/>
      <c r="F204" s="107"/>
      <c r="G204" s="11"/>
      <c r="H204" s="13"/>
      <c r="I204" s="14"/>
      <c r="J204" s="13"/>
      <c r="K204" s="10"/>
      <c r="L204" s="10"/>
      <c r="M204" s="7"/>
      <c r="N204" s="10"/>
      <c r="O204" s="1"/>
      <c r="P204" s="21"/>
      <c r="Q204" s="23" t="str">
        <f t="shared" si="6"/>
        <v/>
      </c>
      <c r="R204" s="7"/>
      <c r="S204" s="7"/>
      <c r="W204" s="7" t="str">
        <f t="shared" si="7"/>
        <v/>
      </c>
    </row>
    <row r="205" spans="2:23" customFormat="1">
      <c r="B205" s="71"/>
      <c r="C205" s="71"/>
      <c r="D205" s="72"/>
      <c r="E205" s="12"/>
      <c r="F205" s="107"/>
      <c r="G205" s="11"/>
      <c r="H205" s="13"/>
      <c r="I205" s="14"/>
      <c r="J205" s="13"/>
      <c r="K205" s="10"/>
      <c r="L205" s="10"/>
      <c r="M205" s="7"/>
      <c r="N205" s="10"/>
      <c r="O205" s="1"/>
      <c r="P205" s="21"/>
      <c r="Q205" s="23" t="str">
        <f t="shared" si="6"/>
        <v/>
      </c>
      <c r="R205" s="7"/>
      <c r="S205" s="7"/>
      <c r="W205" s="7" t="str">
        <f t="shared" si="7"/>
        <v/>
      </c>
    </row>
    <row r="206" spans="2:23" customFormat="1">
      <c r="B206" s="71"/>
      <c r="C206" s="71"/>
      <c r="D206" s="72"/>
      <c r="E206" s="12"/>
      <c r="F206" s="107"/>
      <c r="G206" s="11"/>
      <c r="H206" s="13"/>
      <c r="I206" s="14"/>
      <c r="J206" s="13"/>
      <c r="K206" s="10"/>
      <c r="L206" s="10"/>
      <c r="M206" s="7"/>
      <c r="N206" s="10"/>
      <c r="O206" s="1"/>
      <c r="P206" s="21"/>
      <c r="Q206" s="23" t="str">
        <f t="shared" si="6"/>
        <v/>
      </c>
      <c r="R206" s="7"/>
      <c r="S206" s="7"/>
      <c r="W206" s="7" t="str">
        <f t="shared" si="7"/>
        <v/>
      </c>
    </row>
    <row r="207" spans="2:23" customFormat="1">
      <c r="B207" s="71"/>
      <c r="C207" s="71"/>
      <c r="D207" s="72"/>
      <c r="E207" s="12"/>
      <c r="F207" s="107"/>
      <c r="G207" s="11"/>
      <c r="H207" s="13"/>
      <c r="I207" s="14"/>
      <c r="J207" s="13"/>
      <c r="K207" s="10"/>
      <c r="L207" s="10"/>
      <c r="M207" s="7"/>
      <c r="N207" s="10"/>
      <c r="O207" s="1"/>
      <c r="P207" s="21"/>
      <c r="Q207" s="23" t="str">
        <f t="shared" si="6"/>
        <v/>
      </c>
      <c r="R207" s="7"/>
      <c r="S207" s="7"/>
      <c r="W207" s="7" t="str">
        <f t="shared" si="7"/>
        <v/>
      </c>
    </row>
    <row r="208" spans="2:23" customFormat="1">
      <c r="B208" s="71"/>
      <c r="C208" s="71"/>
      <c r="D208" s="72"/>
      <c r="E208" s="12"/>
      <c r="F208" s="107"/>
      <c r="G208" s="11"/>
      <c r="H208" s="13"/>
      <c r="I208" s="14"/>
      <c r="J208" s="13"/>
      <c r="K208" s="10"/>
      <c r="L208" s="10"/>
      <c r="M208" s="7"/>
      <c r="N208" s="10"/>
      <c r="O208" s="1"/>
      <c r="P208" s="21"/>
      <c r="Q208" s="23" t="str">
        <f t="shared" si="6"/>
        <v/>
      </c>
      <c r="R208" s="7"/>
      <c r="S208" s="7"/>
      <c r="W208" s="7" t="str">
        <f t="shared" si="7"/>
        <v/>
      </c>
    </row>
    <row r="209" spans="2:23" customFormat="1">
      <c r="B209" s="71"/>
      <c r="C209" s="71"/>
      <c r="D209" s="72"/>
      <c r="E209" s="12"/>
      <c r="F209" s="107"/>
      <c r="G209" s="11"/>
      <c r="H209" s="13"/>
      <c r="I209" s="14"/>
      <c r="J209" s="13"/>
      <c r="K209" s="10"/>
      <c r="L209" s="10"/>
      <c r="M209" s="7"/>
      <c r="N209" s="10"/>
      <c r="O209" s="1"/>
      <c r="P209" s="21"/>
      <c r="Q209" s="23" t="str">
        <f t="shared" si="6"/>
        <v/>
      </c>
      <c r="R209" s="7"/>
      <c r="S209" s="7"/>
      <c r="W209" s="7" t="str">
        <f t="shared" si="7"/>
        <v/>
      </c>
    </row>
    <row r="210" spans="2:23" customFormat="1">
      <c r="B210" s="71"/>
      <c r="C210" s="71"/>
      <c r="D210" s="72"/>
      <c r="E210" s="12"/>
      <c r="F210" s="107"/>
      <c r="G210" s="11"/>
      <c r="H210" s="13"/>
      <c r="I210" s="14"/>
      <c r="J210" s="13"/>
      <c r="K210" s="10"/>
      <c r="L210" s="10"/>
      <c r="M210" s="7"/>
      <c r="N210" s="10"/>
      <c r="O210" s="1"/>
      <c r="P210" s="21"/>
      <c r="Q210" s="23" t="str">
        <f t="shared" si="6"/>
        <v/>
      </c>
      <c r="R210" s="7"/>
      <c r="S210" s="7"/>
      <c r="W210" s="7" t="str">
        <f t="shared" si="7"/>
        <v/>
      </c>
    </row>
    <row r="211" spans="2:23" customFormat="1">
      <c r="B211" s="71"/>
      <c r="C211" s="71"/>
      <c r="D211" s="72"/>
      <c r="E211" s="12"/>
      <c r="F211" s="107"/>
      <c r="G211" s="11"/>
      <c r="H211" s="13"/>
      <c r="I211" s="14"/>
      <c r="J211" s="13"/>
      <c r="K211" s="10"/>
      <c r="L211" s="10"/>
      <c r="M211" s="7"/>
      <c r="N211" s="10"/>
      <c r="O211" s="1"/>
      <c r="P211" s="21"/>
      <c r="Q211" s="23" t="str">
        <f t="shared" si="6"/>
        <v/>
      </c>
      <c r="R211" s="7"/>
      <c r="S211" s="7"/>
      <c r="W211" s="7" t="str">
        <f t="shared" si="7"/>
        <v/>
      </c>
    </row>
    <row r="212" spans="2:23" customFormat="1">
      <c r="B212" s="71"/>
      <c r="C212" s="71"/>
      <c r="D212" s="72"/>
      <c r="E212" s="12"/>
      <c r="F212" s="107"/>
      <c r="G212" s="11"/>
      <c r="H212" s="13"/>
      <c r="I212" s="14"/>
      <c r="J212" s="13"/>
      <c r="K212" s="10"/>
      <c r="L212" s="10"/>
      <c r="M212" s="7"/>
      <c r="N212" s="10"/>
      <c r="O212" s="1"/>
      <c r="P212" s="21"/>
      <c r="Q212" s="23" t="str">
        <f t="shared" si="6"/>
        <v/>
      </c>
      <c r="R212" s="7"/>
      <c r="S212" s="7"/>
      <c r="W212" s="7" t="str">
        <f t="shared" si="7"/>
        <v/>
      </c>
    </row>
    <row r="213" spans="2:23" customFormat="1">
      <c r="B213" s="71"/>
      <c r="C213" s="71"/>
      <c r="D213" s="72"/>
      <c r="E213" s="12"/>
      <c r="F213" s="107"/>
      <c r="G213" s="11"/>
      <c r="H213" s="13"/>
      <c r="I213" s="14"/>
      <c r="J213" s="13"/>
      <c r="K213" s="10"/>
      <c r="L213" s="10"/>
      <c r="M213" s="7"/>
      <c r="N213" s="10"/>
      <c r="O213" s="1"/>
      <c r="P213" s="21"/>
      <c r="Q213" s="23" t="str">
        <f t="shared" si="6"/>
        <v/>
      </c>
      <c r="R213" s="7"/>
      <c r="S213" s="7"/>
      <c r="W213" s="7" t="str">
        <f t="shared" si="7"/>
        <v/>
      </c>
    </row>
    <row r="214" spans="2:23" customFormat="1">
      <c r="B214" s="71"/>
      <c r="C214" s="71"/>
      <c r="D214" s="72"/>
      <c r="E214" s="12"/>
      <c r="F214" s="107"/>
      <c r="G214" s="11"/>
      <c r="H214" s="13"/>
      <c r="I214" s="14"/>
      <c r="J214" s="13"/>
      <c r="K214" s="10"/>
      <c r="L214" s="10"/>
      <c r="M214" s="7"/>
      <c r="N214" s="10"/>
      <c r="O214" s="1"/>
      <c r="P214" s="21"/>
      <c r="Q214" s="23" t="str">
        <f t="shared" si="6"/>
        <v/>
      </c>
      <c r="R214" s="7"/>
      <c r="S214" s="7"/>
      <c r="W214" s="7" t="str">
        <f t="shared" si="7"/>
        <v/>
      </c>
    </row>
    <row r="215" spans="2:23" customFormat="1">
      <c r="B215" s="71"/>
      <c r="C215" s="71"/>
      <c r="D215" s="72"/>
      <c r="E215" s="12"/>
      <c r="F215" s="107"/>
      <c r="G215" s="11"/>
      <c r="H215" s="13"/>
      <c r="I215" s="14"/>
      <c r="J215" s="13"/>
      <c r="K215" s="10"/>
      <c r="L215" s="10"/>
      <c r="M215" s="7"/>
      <c r="N215" s="10"/>
      <c r="O215" s="1"/>
      <c r="P215" s="21"/>
      <c r="Q215" s="23" t="str">
        <f t="shared" ref="Q215:Q278" si="8">IF(P215="Exemplary", "None; meets or exceeds all minimum requirements.",IF(P215="Strong", "Minor gaps in execution or periodic review; improvement needed.",IF(P215="Developing", "Partial compliance; gaps in documentation, roles, or execution.",IF(P215="Emerging", "Informal or incomplete implementation; missing formal documents or procedures.",IF(P215="Critical", "Control not initiated; no documentation or designation.","")))))</f>
        <v/>
      </c>
      <c r="R215" s="7"/>
      <c r="S215" s="7"/>
      <c r="W215" s="7" t="str">
        <f t="shared" si="7"/>
        <v/>
      </c>
    </row>
    <row r="216" spans="2:23" customFormat="1">
      <c r="B216" s="71"/>
      <c r="C216" s="71"/>
      <c r="D216" s="72"/>
      <c r="E216" s="12"/>
      <c r="F216" s="107"/>
      <c r="G216" s="11"/>
      <c r="H216" s="13"/>
      <c r="I216" s="14"/>
      <c r="J216" s="13"/>
      <c r="K216" s="10"/>
      <c r="L216" s="10"/>
      <c r="M216" s="7"/>
      <c r="N216" s="10"/>
      <c r="O216" s="1"/>
      <c r="P216" s="21"/>
      <c r="Q216" s="23" t="str">
        <f t="shared" si="8"/>
        <v/>
      </c>
      <c r="R216" s="7"/>
      <c r="S216" s="7"/>
      <c r="W216" s="7" t="str">
        <f t="shared" ref="W216:W279" si="9">IFERROR(VALUE(MID(P216,7,1)),"")</f>
        <v/>
      </c>
    </row>
    <row r="217" spans="2:23" customFormat="1">
      <c r="B217" s="71"/>
      <c r="C217" s="71"/>
      <c r="D217" s="72"/>
      <c r="E217" s="12"/>
      <c r="F217" s="107"/>
      <c r="G217" s="11"/>
      <c r="H217" s="13"/>
      <c r="I217" s="14"/>
      <c r="J217" s="13"/>
      <c r="K217" s="10"/>
      <c r="L217" s="10"/>
      <c r="M217" s="7"/>
      <c r="N217" s="10"/>
      <c r="O217" s="1"/>
      <c r="P217" s="21"/>
      <c r="Q217" s="23" t="str">
        <f t="shared" si="8"/>
        <v/>
      </c>
      <c r="R217" s="7"/>
      <c r="S217" s="7"/>
      <c r="W217" s="7" t="str">
        <f t="shared" si="9"/>
        <v/>
      </c>
    </row>
    <row r="218" spans="2:23" customFormat="1">
      <c r="B218" s="71"/>
      <c r="C218" s="71"/>
      <c r="D218" s="72"/>
      <c r="E218" s="12"/>
      <c r="F218" s="107"/>
      <c r="G218" s="11"/>
      <c r="H218" s="13"/>
      <c r="I218" s="14"/>
      <c r="J218" s="13"/>
      <c r="K218" s="10"/>
      <c r="L218" s="10"/>
      <c r="M218" s="7"/>
      <c r="N218" s="10"/>
      <c r="O218" s="1"/>
      <c r="P218" s="21"/>
      <c r="Q218" s="23" t="str">
        <f t="shared" si="8"/>
        <v/>
      </c>
      <c r="R218" s="7"/>
      <c r="S218" s="7"/>
      <c r="W218" s="7" t="str">
        <f t="shared" si="9"/>
        <v/>
      </c>
    </row>
    <row r="219" spans="2:23" customFormat="1">
      <c r="B219" s="71"/>
      <c r="C219" s="71"/>
      <c r="D219" s="72"/>
      <c r="E219" s="12"/>
      <c r="F219" s="107"/>
      <c r="G219" s="11"/>
      <c r="H219" s="13"/>
      <c r="I219" s="14"/>
      <c r="J219" s="13"/>
      <c r="K219" s="10"/>
      <c r="L219" s="10"/>
      <c r="M219" s="7"/>
      <c r="N219" s="10"/>
      <c r="O219" s="1"/>
      <c r="P219" s="21"/>
      <c r="Q219" s="23" t="str">
        <f t="shared" si="8"/>
        <v/>
      </c>
      <c r="R219" s="7"/>
      <c r="S219" s="7"/>
      <c r="W219" s="7" t="str">
        <f t="shared" si="9"/>
        <v/>
      </c>
    </row>
    <row r="220" spans="2:23" customFormat="1">
      <c r="B220" s="71"/>
      <c r="C220" s="71"/>
      <c r="D220" s="72"/>
      <c r="E220" s="12"/>
      <c r="F220" s="107"/>
      <c r="G220" s="11"/>
      <c r="H220" s="13"/>
      <c r="I220" s="14"/>
      <c r="J220" s="13"/>
      <c r="K220" s="10"/>
      <c r="L220" s="10"/>
      <c r="M220" s="7"/>
      <c r="N220" s="10"/>
      <c r="O220" s="1"/>
      <c r="P220" s="21"/>
      <c r="Q220" s="23" t="str">
        <f t="shared" si="8"/>
        <v/>
      </c>
      <c r="R220" s="7"/>
      <c r="S220" s="7"/>
      <c r="W220" s="7" t="str">
        <f t="shared" si="9"/>
        <v/>
      </c>
    </row>
    <row r="221" spans="2:23" customFormat="1">
      <c r="B221" s="71"/>
      <c r="C221" s="71"/>
      <c r="D221" s="72"/>
      <c r="E221" s="12"/>
      <c r="F221" s="107"/>
      <c r="G221" s="11"/>
      <c r="H221" s="13"/>
      <c r="I221" s="14"/>
      <c r="J221" s="13"/>
      <c r="K221" s="10"/>
      <c r="L221" s="10"/>
      <c r="M221" s="7"/>
      <c r="N221" s="10"/>
      <c r="O221" s="1"/>
      <c r="P221" s="21"/>
      <c r="Q221" s="23" t="str">
        <f t="shared" si="8"/>
        <v/>
      </c>
      <c r="R221" s="7"/>
      <c r="S221" s="7"/>
      <c r="W221" s="7" t="str">
        <f t="shared" si="9"/>
        <v/>
      </c>
    </row>
    <row r="222" spans="2:23" customFormat="1">
      <c r="B222" s="71"/>
      <c r="C222" s="71"/>
      <c r="D222" s="72"/>
      <c r="E222" s="12"/>
      <c r="F222" s="107"/>
      <c r="G222" s="11"/>
      <c r="H222" s="13"/>
      <c r="I222" s="14"/>
      <c r="J222" s="13"/>
      <c r="K222" s="10"/>
      <c r="L222" s="10"/>
      <c r="M222" s="7"/>
      <c r="N222" s="10"/>
      <c r="O222" s="1"/>
      <c r="P222" s="21"/>
      <c r="Q222" s="23" t="str">
        <f t="shared" si="8"/>
        <v/>
      </c>
      <c r="R222" s="7"/>
      <c r="S222" s="7"/>
      <c r="W222" s="7" t="str">
        <f t="shared" si="9"/>
        <v/>
      </c>
    </row>
    <row r="223" spans="2:23" customFormat="1">
      <c r="B223" s="71"/>
      <c r="C223" s="71"/>
      <c r="D223" s="72"/>
      <c r="E223" s="12"/>
      <c r="F223" s="107"/>
      <c r="G223" s="11"/>
      <c r="H223" s="13"/>
      <c r="I223" s="14"/>
      <c r="J223" s="13"/>
      <c r="K223" s="10"/>
      <c r="L223" s="10"/>
      <c r="M223" s="7"/>
      <c r="N223" s="10"/>
      <c r="O223" s="1"/>
      <c r="P223" s="21"/>
      <c r="Q223" s="23" t="str">
        <f t="shared" si="8"/>
        <v/>
      </c>
      <c r="R223" s="7"/>
      <c r="S223" s="7"/>
      <c r="W223" s="7" t="str">
        <f t="shared" si="9"/>
        <v/>
      </c>
    </row>
    <row r="224" spans="2:23" customFormat="1">
      <c r="B224" s="71"/>
      <c r="C224" s="71"/>
      <c r="D224" s="72"/>
      <c r="E224" s="12"/>
      <c r="F224" s="107"/>
      <c r="G224" s="11"/>
      <c r="H224" s="13"/>
      <c r="I224" s="14"/>
      <c r="J224" s="13"/>
      <c r="K224" s="10"/>
      <c r="L224" s="10"/>
      <c r="M224" s="7"/>
      <c r="N224" s="10"/>
      <c r="O224" s="1"/>
      <c r="P224" s="21"/>
      <c r="Q224" s="23" t="str">
        <f t="shared" si="8"/>
        <v/>
      </c>
      <c r="R224" s="7"/>
      <c r="S224" s="7"/>
      <c r="W224" s="7" t="str">
        <f t="shared" si="9"/>
        <v/>
      </c>
    </row>
    <row r="225" spans="2:23" customFormat="1">
      <c r="B225" s="71"/>
      <c r="C225" s="71"/>
      <c r="D225" s="72"/>
      <c r="E225" s="12"/>
      <c r="F225" s="107"/>
      <c r="G225" s="11"/>
      <c r="H225" s="13"/>
      <c r="I225" s="14"/>
      <c r="J225" s="13"/>
      <c r="K225" s="10"/>
      <c r="L225" s="10"/>
      <c r="M225" s="7"/>
      <c r="N225" s="10"/>
      <c r="O225" s="1"/>
      <c r="P225" s="21"/>
      <c r="Q225" s="23" t="str">
        <f t="shared" si="8"/>
        <v/>
      </c>
      <c r="R225" s="7"/>
      <c r="S225" s="7"/>
      <c r="W225" s="7" t="str">
        <f t="shared" si="9"/>
        <v/>
      </c>
    </row>
    <row r="226" spans="2:23" customFormat="1">
      <c r="B226" s="71"/>
      <c r="C226" s="71"/>
      <c r="D226" s="72"/>
      <c r="E226" s="12"/>
      <c r="F226" s="107"/>
      <c r="G226" s="11"/>
      <c r="H226" s="13"/>
      <c r="I226" s="14"/>
      <c r="J226" s="13"/>
      <c r="K226" s="10"/>
      <c r="L226" s="10"/>
      <c r="M226" s="7"/>
      <c r="N226" s="10"/>
      <c r="O226" s="1"/>
      <c r="P226" s="21"/>
      <c r="Q226" s="23" t="str">
        <f t="shared" si="8"/>
        <v/>
      </c>
      <c r="R226" s="7"/>
      <c r="S226" s="7"/>
      <c r="W226" s="7" t="str">
        <f t="shared" si="9"/>
        <v/>
      </c>
    </row>
    <row r="227" spans="2:23" customFormat="1">
      <c r="B227" s="71"/>
      <c r="C227" s="71"/>
      <c r="D227" s="72"/>
      <c r="E227" s="12"/>
      <c r="F227" s="107"/>
      <c r="G227" s="11"/>
      <c r="H227" s="13"/>
      <c r="I227" s="14"/>
      <c r="J227" s="13"/>
      <c r="K227" s="10"/>
      <c r="L227" s="10"/>
      <c r="M227" s="7"/>
      <c r="N227" s="10"/>
      <c r="O227" s="1"/>
      <c r="P227" s="21"/>
      <c r="Q227" s="23" t="str">
        <f t="shared" si="8"/>
        <v/>
      </c>
      <c r="R227" s="7"/>
      <c r="S227" s="7"/>
      <c r="W227" s="7" t="str">
        <f t="shared" si="9"/>
        <v/>
      </c>
    </row>
    <row r="228" spans="2:23" customFormat="1">
      <c r="B228" s="71"/>
      <c r="C228" s="71"/>
      <c r="D228" s="72"/>
      <c r="E228" s="12"/>
      <c r="F228" s="107"/>
      <c r="G228" s="11"/>
      <c r="H228" s="13"/>
      <c r="I228" s="14"/>
      <c r="J228" s="13"/>
      <c r="K228" s="10"/>
      <c r="L228" s="10"/>
      <c r="M228" s="7"/>
      <c r="N228" s="10"/>
      <c r="O228" s="1"/>
      <c r="P228" s="21"/>
      <c r="Q228" s="23" t="str">
        <f t="shared" si="8"/>
        <v/>
      </c>
      <c r="R228" s="7"/>
      <c r="S228" s="7"/>
      <c r="W228" s="7" t="str">
        <f t="shared" si="9"/>
        <v/>
      </c>
    </row>
    <row r="229" spans="2:23" customFormat="1">
      <c r="B229" s="71"/>
      <c r="C229" s="71"/>
      <c r="D229" s="72"/>
      <c r="E229" s="12"/>
      <c r="F229" s="107"/>
      <c r="G229" s="11"/>
      <c r="H229" s="13"/>
      <c r="I229" s="14"/>
      <c r="J229" s="13"/>
      <c r="K229" s="10"/>
      <c r="L229" s="10"/>
      <c r="M229" s="7"/>
      <c r="N229" s="10"/>
      <c r="O229" s="1"/>
      <c r="P229" s="21"/>
      <c r="Q229" s="23" t="str">
        <f t="shared" si="8"/>
        <v/>
      </c>
      <c r="R229" s="7"/>
      <c r="S229" s="7"/>
      <c r="W229" s="7" t="str">
        <f t="shared" si="9"/>
        <v/>
      </c>
    </row>
    <row r="230" spans="2:23" customFormat="1">
      <c r="B230" s="71"/>
      <c r="C230" s="71"/>
      <c r="D230" s="72"/>
      <c r="E230" s="12"/>
      <c r="F230" s="107"/>
      <c r="G230" s="11"/>
      <c r="H230" s="13"/>
      <c r="I230" s="14"/>
      <c r="J230" s="13"/>
      <c r="K230" s="10"/>
      <c r="L230" s="10"/>
      <c r="M230" s="7"/>
      <c r="N230" s="10"/>
      <c r="O230" s="1"/>
      <c r="P230" s="21"/>
      <c r="Q230" s="23" t="str">
        <f t="shared" si="8"/>
        <v/>
      </c>
      <c r="R230" s="7"/>
      <c r="S230" s="7"/>
      <c r="W230" s="7" t="str">
        <f t="shared" si="9"/>
        <v/>
      </c>
    </row>
    <row r="231" spans="2:23" customFormat="1">
      <c r="B231" s="71"/>
      <c r="C231" s="71"/>
      <c r="D231" s="72"/>
      <c r="E231" s="12"/>
      <c r="F231" s="107"/>
      <c r="G231" s="11"/>
      <c r="H231" s="13"/>
      <c r="I231" s="14"/>
      <c r="J231" s="13"/>
      <c r="K231" s="10"/>
      <c r="L231" s="10"/>
      <c r="M231" s="7"/>
      <c r="N231" s="10"/>
      <c r="O231" s="1"/>
      <c r="P231" s="21"/>
      <c r="Q231" s="23" t="str">
        <f t="shared" si="8"/>
        <v/>
      </c>
      <c r="R231" s="7"/>
      <c r="S231" s="7"/>
      <c r="W231" s="7" t="str">
        <f t="shared" si="9"/>
        <v/>
      </c>
    </row>
    <row r="232" spans="2:23" customFormat="1">
      <c r="B232" s="71"/>
      <c r="C232" s="71"/>
      <c r="D232" s="72"/>
      <c r="E232" s="12"/>
      <c r="F232" s="107"/>
      <c r="G232" s="11"/>
      <c r="H232" s="13"/>
      <c r="I232" s="14"/>
      <c r="J232" s="13"/>
      <c r="K232" s="10"/>
      <c r="L232" s="10"/>
      <c r="M232" s="7"/>
      <c r="N232" s="10"/>
      <c r="O232" s="1"/>
      <c r="P232" s="21"/>
      <c r="Q232" s="23" t="str">
        <f t="shared" si="8"/>
        <v/>
      </c>
      <c r="R232" s="7"/>
      <c r="S232" s="7"/>
      <c r="W232" s="7" t="str">
        <f t="shared" si="9"/>
        <v/>
      </c>
    </row>
    <row r="233" spans="2:23" customFormat="1">
      <c r="B233" s="71"/>
      <c r="C233" s="71"/>
      <c r="D233" s="72"/>
      <c r="E233" s="12"/>
      <c r="F233" s="107"/>
      <c r="G233" s="11"/>
      <c r="H233" s="13"/>
      <c r="I233" s="14"/>
      <c r="J233" s="13"/>
      <c r="K233" s="10"/>
      <c r="L233" s="10"/>
      <c r="M233" s="7"/>
      <c r="N233" s="10"/>
      <c r="O233" s="1"/>
      <c r="P233" s="21"/>
      <c r="Q233" s="23" t="str">
        <f t="shared" si="8"/>
        <v/>
      </c>
      <c r="R233" s="7"/>
      <c r="S233" s="7"/>
      <c r="W233" s="7" t="str">
        <f t="shared" si="9"/>
        <v/>
      </c>
    </row>
    <row r="234" spans="2:23" customFormat="1">
      <c r="B234" s="71"/>
      <c r="C234" s="71"/>
      <c r="D234" s="72"/>
      <c r="E234" s="12"/>
      <c r="F234" s="107"/>
      <c r="G234" s="11"/>
      <c r="H234" s="13"/>
      <c r="I234" s="14"/>
      <c r="J234" s="13"/>
      <c r="K234" s="10"/>
      <c r="L234" s="10"/>
      <c r="M234" s="7"/>
      <c r="N234" s="10"/>
      <c r="O234" s="1"/>
      <c r="P234" s="21"/>
      <c r="Q234" s="23" t="str">
        <f t="shared" si="8"/>
        <v/>
      </c>
      <c r="R234" s="7"/>
      <c r="S234" s="7"/>
      <c r="W234" s="7" t="str">
        <f t="shared" si="9"/>
        <v/>
      </c>
    </row>
    <row r="235" spans="2:23" customFormat="1">
      <c r="B235" s="71"/>
      <c r="C235" s="71"/>
      <c r="D235" s="72"/>
      <c r="E235" s="12"/>
      <c r="F235" s="107"/>
      <c r="G235" s="11"/>
      <c r="H235" s="13"/>
      <c r="I235" s="14"/>
      <c r="J235" s="13"/>
      <c r="K235" s="10"/>
      <c r="L235" s="10"/>
      <c r="M235" s="7"/>
      <c r="N235" s="10"/>
      <c r="O235" s="1"/>
      <c r="P235" s="21"/>
      <c r="Q235" s="23" t="str">
        <f t="shared" si="8"/>
        <v/>
      </c>
      <c r="R235" s="7"/>
      <c r="S235" s="7"/>
      <c r="W235" s="7" t="str">
        <f t="shared" si="9"/>
        <v/>
      </c>
    </row>
    <row r="236" spans="2:23" customFormat="1">
      <c r="B236" s="71"/>
      <c r="C236" s="71"/>
      <c r="D236" s="72"/>
      <c r="E236" s="12"/>
      <c r="F236" s="107"/>
      <c r="G236" s="11"/>
      <c r="H236" s="13"/>
      <c r="I236" s="14"/>
      <c r="J236" s="13"/>
      <c r="K236" s="10"/>
      <c r="L236" s="10"/>
      <c r="M236" s="7"/>
      <c r="N236" s="10"/>
      <c r="O236" s="1"/>
      <c r="P236" s="21"/>
      <c r="Q236" s="23" t="str">
        <f t="shared" si="8"/>
        <v/>
      </c>
      <c r="R236" s="7"/>
      <c r="S236" s="7"/>
      <c r="W236" s="7" t="str">
        <f t="shared" si="9"/>
        <v/>
      </c>
    </row>
    <row r="237" spans="2:23" customFormat="1">
      <c r="B237" s="71"/>
      <c r="C237" s="71"/>
      <c r="D237" s="72"/>
      <c r="E237" s="12"/>
      <c r="F237" s="107"/>
      <c r="G237" s="11"/>
      <c r="H237" s="13"/>
      <c r="I237" s="14"/>
      <c r="J237" s="13"/>
      <c r="K237" s="10"/>
      <c r="L237" s="10"/>
      <c r="M237" s="7"/>
      <c r="N237" s="10"/>
      <c r="O237" s="1"/>
      <c r="P237" s="21"/>
      <c r="Q237" s="23" t="str">
        <f t="shared" si="8"/>
        <v/>
      </c>
      <c r="R237" s="7"/>
      <c r="S237" s="7"/>
      <c r="W237" s="7" t="str">
        <f t="shared" si="9"/>
        <v/>
      </c>
    </row>
    <row r="238" spans="2:23" customFormat="1">
      <c r="B238" s="71"/>
      <c r="C238" s="71"/>
      <c r="D238" s="72"/>
      <c r="E238" s="12"/>
      <c r="F238" s="107"/>
      <c r="G238" s="11"/>
      <c r="H238" s="13"/>
      <c r="I238" s="14"/>
      <c r="J238" s="13"/>
      <c r="K238" s="10"/>
      <c r="L238" s="10"/>
      <c r="M238" s="7"/>
      <c r="N238" s="10"/>
      <c r="O238" s="1"/>
      <c r="P238" s="21"/>
      <c r="Q238" s="23" t="str">
        <f t="shared" si="8"/>
        <v/>
      </c>
      <c r="R238" s="7"/>
      <c r="S238" s="7"/>
      <c r="W238" s="7" t="str">
        <f t="shared" si="9"/>
        <v/>
      </c>
    </row>
    <row r="239" spans="2:23" customFormat="1">
      <c r="B239" s="71"/>
      <c r="C239" s="71"/>
      <c r="D239" s="72"/>
      <c r="E239" s="12"/>
      <c r="F239" s="107"/>
      <c r="G239" s="11"/>
      <c r="H239" s="13"/>
      <c r="I239" s="14"/>
      <c r="J239" s="13"/>
      <c r="K239" s="10"/>
      <c r="L239" s="10"/>
      <c r="M239" s="7"/>
      <c r="N239" s="10"/>
      <c r="O239" s="1"/>
      <c r="P239" s="21"/>
      <c r="Q239" s="23" t="str">
        <f t="shared" si="8"/>
        <v/>
      </c>
      <c r="R239" s="7"/>
      <c r="S239" s="7"/>
      <c r="W239" s="7" t="str">
        <f t="shared" si="9"/>
        <v/>
      </c>
    </row>
    <row r="240" spans="2:23" customFormat="1">
      <c r="B240" s="71"/>
      <c r="C240" s="71"/>
      <c r="D240" s="72"/>
      <c r="E240" s="12"/>
      <c r="F240" s="107"/>
      <c r="G240" s="11"/>
      <c r="H240" s="13"/>
      <c r="I240" s="14"/>
      <c r="J240" s="13"/>
      <c r="K240" s="10"/>
      <c r="L240" s="10"/>
      <c r="M240" s="7"/>
      <c r="N240" s="10"/>
      <c r="O240" s="1"/>
      <c r="P240" s="21"/>
      <c r="Q240" s="23" t="str">
        <f t="shared" si="8"/>
        <v/>
      </c>
      <c r="R240" s="7"/>
      <c r="S240" s="7"/>
      <c r="W240" s="7" t="str">
        <f t="shared" si="9"/>
        <v/>
      </c>
    </row>
    <row r="241" spans="2:23" customFormat="1">
      <c r="B241" s="71"/>
      <c r="C241" s="71"/>
      <c r="D241" s="72"/>
      <c r="E241" s="12"/>
      <c r="F241" s="107"/>
      <c r="G241" s="11"/>
      <c r="H241" s="13"/>
      <c r="I241" s="14"/>
      <c r="J241" s="13"/>
      <c r="K241" s="10"/>
      <c r="L241" s="10"/>
      <c r="M241" s="7"/>
      <c r="N241" s="10"/>
      <c r="O241" s="1"/>
      <c r="P241" s="21"/>
      <c r="Q241" s="23" t="str">
        <f t="shared" si="8"/>
        <v/>
      </c>
      <c r="R241" s="7"/>
      <c r="S241" s="7"/>
      <c r="W241" s="7" t="str">
        <f t="shared" si="9"/>
        <v/>
      </c>
    </row>
    <row r="242" spans="2:23" customFormat="1">
      <c r="B242" s="71"/>
      <c r="C242" s="71"/>
      <c r="D242" s="72"/>
      <c r="E242" s="12"/>
      <c r="F242" s="107"/>
      <c r="G242" s="11"/>
      <c r="H242" s="13"/>
      <c r="I242" s="14"/>
      <c r="J242" s="13"/>
      <c r="K242" s="10"/>
      <c r="L242" s="10"/>
      <c r="M242" s="7"/>
      <c r="N242" s="10"/>
      <c r="O242" s="1"/>
      <c r="P242" s="21"/>
      <c r="Q242" s="23" t="str">
        <f t="shared" si="8"/>
        <v/>
      </c>
      <c r="R242" s="7"/>
      <c r="S242" s="7"/>
      <c r="W242" s="7" t="str">
        <f t="shared" si="9"/>
        <v/>
      </c>
    </row>
    <row r="243" spans="2:23" customFormat="1">
      <c r="B243" s="71"/>
      <c r="C243" s="71"/>
      <c r="D243" s="72"/>
      <c r="E243" s="12"/>
      <c r="F243" s="107"/>
      <c r="G243" s="11"/>
      <c r="H243" s="13"/>
      <c r="I243" s="14"/>
      <c r="J243" s="13"/>
      <c r="K243" s="10"/>
      <c r="L243" s="10"/>
      <c r="M243" s="7"/>
      <c r="N243" s="10"/>
      <c r="O243" s="1"/>
      <c r="P243" s="21"/>
      <c r="Q243" s="23" t="str">
        <f t="shared" si="8"/>
        <v/>
      </c>
      <c r="R243" s="7"/>
      <c r="S243" s="7"/>
      <c r="W243" s="7" t="str">
        <f t="shared" si="9"/>
        <v/>
      </c>
    </row>
    <row r="244" spans="2:23" customFormat="1">
      <c r="B244" s="71"/>
      <c r="C244" s="71"/>
      <c r="D244" s="72"/>
      <c r="E244" s="12"/>
      <c r="F244" s="107"/>
      <c r="G244" s="11"/>
      <c r="H244" s="13"/>
      <c r="I244" s="14"/>
      <c r="J244" s="13"/>
      <c r="K244" s="10"/>
      <c r="L244" s="10"/>
      <c r="M244" s="7"/>
      <c r="N244" s="10"/>
      <c r="O244" s="1"/>
      <c r="P244" s="21"/>
      <c r="Q244" s="23" t="str">
        <f t="shared" si="8"/>
        <v/>
      </c>
      <c r="R244" s="7"/>
      <c r="S244" s="7"/>
      <c r="W244" s="7" t="str">
        <f t="shared" si="9"/>
        <v/>
      </c>
    </row>
    <row r="245" spans="2:23" customFormat="1">
      <c r="B245" s="71"/>
      <c r="C245" s="71"/>
      <c r="D245" s="72"/>
      <c r="E245" s="12"/>
      <c r="F245" s="107"/>
      <c r="G245" s="11"/>
      <c r="H245" s="13"/>
      <c r="I245" s="14"/>
      <c r="J245" s="13"/>
      <c r="K245" s="10"/>
      <c r="L245" s="10"/>
      <c r="M245" s="7"/>
      <c r="N245" s="10"/>
      <c r="O245" s="1"/>
      <c r="P245" s="21"/>
      <c r="Q245" s="23" t="str">
        <f t="shared" si="8"/>
        <v/>
      </c>
      <c r="R245" s="7"/>
      <c r="S245" s="7"/>
      <c r="W245" s="7" t="str">
        <f t="shared" si="9"/>
        <v/>
      </c>
    </row>
    <row r="246" spans="2:23" customFormat="1">
      <c r="B246" s="71"/>
      <c r="C246" s="71"/>
      <c r="D246" s="72"/>
      <c r="E246" s="12"/>
      <c r="F246" s="107"/>
      <c r="G246" s="11"/>
      <c r="H246" s="13"/>
      <c r="I246" s="14"/>
      <c r="J246" s="13"/>
      <c r="K246" s="10"/>
      <c r="L246" s="10"/>
      <c r="M246" s="7"/>
      <c r="N246" s="10"/>
      <c r="O246" s="1"/>
      <c r="P246" s="21"/>
      <c r="Q246" s="23" t="str">
        <f t="shared" si="8"/>
        <v/>
      </c>
      <c r="R246" s="7"/>
      <c r="S246" s="7"/>
      <c r="W246" s="7" t="str">
        <f t="shared" si="9"/>
        <v/>
      </c>
    </row>
    <row r="247" spans="2:23" customFormat="1">
      <c r="B247" s="71"/>
      <c r="C247" s="71"/>
      <c r="D247" s="72"/>
      <c r="E247" s="12"/>
      <c r="F247" s="107"/>
      <c r="G247" s="11"/>
      <c r="H247" s="13"/>
      <c r="I247" s="14"/>
      <c r="J247" s="13"/>
      <c r="K247" s="10"/>
      <c r="L247" s="10"/>
      <c r="M247" s="7"/>
      <c r="N247" s="10"/>
      <c r="O247" s="1"/>
      <c r="P247" s="21"/>
      <c r="Q247" s="23" t="str">
        <f t="shared" si="8"/>
        <v/>
      </c>
      <c r="R247" s="7"/>
      <c r="S247" s="7"/>
      <c r="W247" s="7" t="str">
        <f t="shared" si="9"/>
        <v/>
      </c>
    </row>
    <row r="248" spans="2:23" customFormat="1">
      <c r="B248" s="71"/>
      <c r="C248" s="71"/>
      <c r="D248" s="72"/>
      <c r="E248" s="12"/>
      <c r="F248" s="107"/>
      <c r="G248" s="11"/>
      <c r="H248" s="13"/>
      <c r="I248" s="14"/>
      <c r="J248" s="13"/>
      <c r="K248" s="10"/>
      <c r="L248" s="10"/>
      <c r="M248" s="7"/>
      <c r="N248" s="10"/>
      <c r="O248" s="1"/>
      <c r="P248" s="21"/>
      <c r="Q248" s="23" t="str">
        <f t="shared" si="8"/>
        <v/>
      </c>
      <c r="R248" s="7"/>
      <c r="S248" s="7"/>
      <c r="W248" s="7" t="str">
        <f t="shared" si="9"/>
        <v/>
      </c>
    </row>
    <row r="249" spans="2:23" customFormat="1">
      <c r="B249" s="71"/>
      <c r="C249" s="71"/>
      <c r="D249" s="72"/>
      <c r="E249" s="12"/>
      <c r="F249" s="107"/>
      <c r="G249" s="11"/>
      <c r="H249" s="13"/>
      <c r="I249" s="14"/>
      <c r="J249" s="13"/>
      <c r="K249" s="10"/>
      <c r="L249" s="10"/>
      <c r="M249" s="7"/>
      <c r="N249" s="10"/>
      <c r="O249" s="1"/>
      <c r="P249" s="21"/>
      <c r="Q249" s="23" t="str">
        <f t="shared" si="8"/>
        <v/>
      </c>
      <c r="R249" s="7"/>
      <c r="S249" s="7"/>
      <c r="W249" s="7" t="str">
        <f t="shared" si="9"/>
        <v/>
      </c>
    </row>
    <row r="250" spans="2:23" customFormat="1">
      <c r="B250" s="71"/>
      <c r="C250" s="71"/>
      <c r="D250" s="72"/>
      <c r="E250" s="12"/>
      <c r="F250" s="107"/>
      <c r="G250" s="11"/>
      <c r="H250" s="13"/>
      <c r="I250" s="14"/>
      <c r="J250" s="13"/>
      <c r="K250" s="10"/>
      <c r="L250" s="10"/>
      <c r="M250" s="7"/>
      <c r="N250" s="10"/>
      <c r="O250" s="1"/>
      <c r="P250" s="21"/>
      <c r="Q250" s="23" t="str">
        <f t="shared" si="8"/>
        <v/>
      </c>
      <c r="R250" s="7"/>
      <c r="S250" s="7"/>
      <c r="W250" s="7" t="str">
        <f t="shared" si="9"/>
        <v/>
      </c>
    </row>
    <row r="251" spans="2:23" customFormat="1">
      <c r="B251" s="71"/>
      <c r="C251" s="71"/>
      <c r="D251" s="72"/>
      <c r="E251" s="12"/>
      <c r="F251" s="107"/>
      <c r="G251" s="11"/>
      <c r="H251" s="13"/>
      <c r="I251" s="14"/>
      <c r="J251" s="13"/>
      <c r="K251" s="10"/>
      <c r="L251" s="10"/>
      <c r="M251" s="7"/>
      <c r="N251" s="10"/>
      <c r="O251" s="1"/>
      <c r="P251" s="21"/>
      <c r="Q251" s="23" t="str">
        <f t="shared" si="8"/>
        <v/>
      </c>
      <c r="R251" s="7"/>
      <c r="S251" s="7"/>
      <c r="W251" s="7" t="str">
        <f t="shared" si="9"/>
        <v/>
      </c>
    </row>
    <row r="252" spans="2:23" customFormat="1">
      <c r="B252" s="71"/>
      <c r="C252" s="71"/>
      <c r="D252" s="72"/>
      <c r="E252" s="12"/>
      <c r="F252" s="107"/>
      <c r="G252" s="11"/>
      <c r="H252" s="13"/>
      <c r="I252" s="14"/>
      <c r="J252" s="13"/>
      <c r="K252" s="10"/>
      <c r="L252" s="10"/>
      <c r="M252" s="7"/>
      <c r="N252" s="10"/>
      <c r="O252" s="1"/>
      <c r="P252" s="21"/>
      <c r="Q252" s="23" t="str">
        <f t="shared" si="8"/>
        <v/>
      </c>
      <c r="R252" s="7"/>
      <c r="S252" s="7"/>
      <c r="W252" s="7" t="str">
        <f t="shared" si="9"/>
        <v/>
      </c>
    </row>
    <row r="253" spans="2:23" customFormat="1">
      <c r="B253" s="71"/>
      <c r="C253" s="71"/>
      <c r="D253" s="72"/>
      <c r="E253" s="12"/>
      <c r="F253" s="107"/>
      <c r="G253" s="11"/>
      <c r="H253" s="13"/>
      <c r="I253" s="14"/>
      <c r="J253" s="13"/>
      <c r="K253" s="10"/>
      <c r="L253" s="10"/>
      <c r="M253" s="7"/>
      <c r="N253" s="10"/>
      <c r="O253" s="1"/>
      <c r="P253" s="21"/>
      <c r="Q253" s="23" t="str">
        <f t="shared" si="8"/>
        <v/>
      </c>
      <c r="R253" s="7"/>
      <c r="S253" s="7"/>
      <c r="W253" s="7" t="str">
        <f t="shared" si="9"/>
        <v/>
      </c>
    </row>
    <row r="254" spans="2:23" customFormat="1">
      <c r="B254" s="71"/>
      <c r="C254" s="71"/>
      <c r="D254" s="72"/>
      <c r="E254" s="12"/>
      <c r="F254" s="107"/>
      <c r="G254" s="11"/>
      <c r="H254" s="13"/>
      <c r="I254" s="14"/>
      <c r="J254" s="13"/>
      <c r="K254" s="10"/>
      <c r="L254" s="10"/>
      <c r="M254" s="7"/>
      <c r="N254" s="10"/>
      <c r="O254" s="1"/>
      <c r="P254" s="21"/>
      <c r="Q254" s="23" t="str">
        <f t="shared" si="8"/>
        <v/>
      </c>
      <c r="R254" s="7"/>
      <c r="S254" s="7"/>
      <c r="W254" s="7" t="str">
        <f t="shared" si="9"/>
        <v/>
      </c>
    </row>
    <row r="255" spans="2:23" customFormat="1">
      <c r="B255" s="71"/>
      <c r="C255" s="71"/>
      <c r="D255" s="72"/>
      <c r="E255" s="12"/>
      <c r="F255" s="107"/>
      <c r="G255" s="11"/>
      <c r="H255" s="13"/>
      <c r="I255" s="14"/>
      <c r="J255" s="13"/>
      <c r="K255" s="10"/>
      <c r="L255" s="10"/>
      <c r="M255" s="7"/>
      <c r="N255" s="10"/>
      <c r="O255" s="1"/>
      <c r="P255" s="21"/>
      <c r="Q255" s="23" t="str">
        <f t="shared" si="8"/>
        <v/>
      </c>
      <c r="R255" s="7"/>
      <c r="S255" s="7"/>
      <c r="W255" s="7" t="str">
        <f t="shared" si="9"/>
        <v/>
      </c>
    </row>
    <row r="256" spans="2:23" customFormat="1">
      <c r="B256" s="71"/>
      <c r="C256" s="71"/>
      <c r="D256" s="72"/>
      <c r="E256" s="12"/>
      <c r="F256" s="107"/>
      <c r="G256" s="11"/>
      <c r="H256" s="13"/>
      <c r="I256" s="14"/>
      <c r="J256" s="13"/>
      <c r="K256" s="10"/>
      <c r="L256" s="10"/>
      <c r="M256" s="7"/>
      <c r="N256" s="10"/>
      <c r="O256" s="1"/>
      <c r="P256" s="21"/>
      <c r="Q256" s="23" t="str">
        <f t="shared" si="8"/>
        <v/>
      </c>
      <c r="R256" s="7"/>
      <c r="S256" s="7"/>
      <c r="W256" s="7" t="str">
        <f t="shared" si="9"/>
        <v/>
      </c>
    </row>
    <row r="257" spans="2:23" customFormat="1">
      <c r="B257" s="71"/>
      <c r="C257" s="71"/>
      <c r="D257" s="72"/>
      <c r="E257" s="12"/>
      <c r="F257" s="107"/>
      <c r="G257" s="11"/>
      <c r="H257" s="13"/>
      <c r="I257" s="14"/>
      <c r="J257" s="13"/>
      <c r="K257" s="10"/>
      <c r="L257" s="10"/>
      <c r="M257" s="7"/>
      <c r="N257" s="10"/>
      <c r="O257" s="1"/>
      <c r="P257" s="21"/>
      <c r="Q257" s="23" t="str">
        <f t="shared" si="8"/>
        <v/>
      </c>
      <c r="R257" s="7"/>
      <c r="S257" s="7"/>
      <c r="W257" s="7" t="str">
        <f t="shared" si="9"/>
        <v/>
      </c>
    </row>
    <row r="258" spans="2:23" customFormat="1">
      <c r="B258" s="71"/>
      <c r="C258" s="71"/>
      <c r="D258" s="72"/>
      <c r="E258" s="12"/>
      <c r="F258" s="107"/>
      <c r="G258" s="11"/>
      <c r="H258" s="13"/>
      <c r="I258" s="14"/>
      <c r="J258" s="13"/>
      <c r="K258" s="10"/>
      <c r="L258" s="10"/>
      <c r="M258" s="7"/>
      <c r="N258" s="10"/>
      <c r="O258" s="1"/>
      <c r="P258" s="21"/>
      <c r="Q258" s="23" t="str">
        <f t="shared" si="8"/>
        <v/>
      </c>
      <c r="R258" s="7"/>
      <c r="S258" s="7"/>
      <c r="W258" s="7" t="str">
        <f t="shared" si="9"/>
        <v/>
      </c>
    </row>
    <row r="259" spans="2:23" customFormat="1">
      <c r="B259" s="71"/>
      <c r="C259" s="71"/>
      <c r="D259" s="72"/>
      <c r="E259" s="12"/>
      <c r="F259" s="107"/>
      <c r="G259" s="11"/>
      <c r="H259" s="13"/>
      <c r="I259" s="14"/>
      <c r="J259" s="13"/>
      <c r="K259" s="10"/>
      <c r="L259" s="10"/>
      <c r="M259" s="7"/>
      <c r="N259" s="10"/>
      <c r="O259" s="1"/>
      <c r="P259" s="21"/>
      <c r="Q259" s="23" t="str">
        <f t="shared" si="8"/>
        <v/>
      </c>
      <c r="R259" s="7"/>
      <c r="S259" s="7"/>
      <c r="W259" s="7" t="str">
        <f t="shared" si="9"/>
        <v/>
      </c>
    </row>
    <row r="260" spans="2:23" customFormat="1">
      <c r="B260" s="71"/>
      <c r="C260" s="71"/>
      <c r="D260" s="72"/>
      <c r="E260" s="12"/>
      <c r="F260" s="107"/>
      <c r="G260" s="11"/>
      <c r="H260" s="13"/>
      <c r="I260" s="14"/>
      <c r="J260" s="13"/>
      <c r="K260" s="10"/>
      <c r="L260" s="10"/>
      <c r="M260" s="7"/>
      <c r="N260" s="10"/>
      <c r="O260" s="1"/>
      <c r="P260" s="21"/>
      <c r="Q260" s="23" t="str">
        <f t="shared" si="8"/>
        <v/>
      </c>
      <c r="R260" s="7"/>
      <c r="S260" s="7"/>
      <c r="W260" s="7" t="str">
        <f t="shared" si="9"/>
        <v/>
      </c>
    </row>
    <row r="261" spans="2:23" customFormat="1">
      <c r="B261" s="71"/>
      <c r="C261" s="71"/>
      <c r="D261" s="72"/>
      <c r="E261" s="12"/>
      <c r="F261" s="107"/>
      <c r="G261" s="11"/>
      <c r="H261" s="13"/>
      <c r="I261" s="14"/>
      <c r="J261" s="13"/>
      <c r="K261" s="10"/>
      <c r="L261" s="10"/>
      <c r="M261" s="7"/>
      <c r="N261" s="10"/>
      <c r="O261" s="1"/>
      <c r="P261" s="21"/>
      <c r="Q261" s="23" t="str">
        <f t="shared" si="8"/>
        <v/>
      </c>
      <c r="R261" s="7"/>
      <c r="S261" s="7"/>
      <c r="W261" s="7" t="str">
        <f t="shared" si="9"/>
        <v/>
      </c>
    </row>
    <row r="262" spans="2:23" customFormat="1">
      <c r="B262" s="71"/>
      <c r="C262" s="71"/>
      <c r="D262" s="72"/>
      <c r="E262" s="12"/>
      <c r="F262" s="107"/>
      <c r="G262" s="11"/>
      <c r="H262" s="13"/>
      <c r="I262" s="14"/>
      <c r="J262" s="13"/>
      <c r="K262" s="10"/>
      <c r="L262" s="10"/>
      <c r="M262" s="7"/>
      <c r="N262" s="10"/>
      <c r="O262" s="1"/>
      <c r="P262" s="21"/>
      <c r="Q262" s="23" t="str">
        <f t="shared" si="8"/>
        <v/>
      </c>
      <c r="R262" s="7"/>
      <c r="S262" s="7"/>
      <c r="W262" s="7" t="str">
        <f t="shared" si="9"/>
        <v/>
      </c>
    </row>
    <row r="263" spans="2:23" customFormat="1">
      <c r="B263" s="71"/>
      <c r="C263" s="71"/>
      <c r="D263" s="72"/>
      <c r="E263" s="12"/>
      <c r="F263" s="107"/>
      <c r="G263" s="11"/>
      <c r="H263" s="13"/>
      <c r="I263" s="14"/>
      <c r="J263" s="13"/>
      <c r="K263" s="10"/>
      <c r="L263" s="10"/>
      <c r="M263" s="7"/>
      <c r="N263" s="10"/>
      <c r="O263" s="1"/>
      <c r="P263" s="21"/>
      <c r="Q263" s="23" t="str">
        <f t="shared" si="8"/>
        <v/>
      </c>
      <c r="R263" s="7"/>
      <c r="S263" s="7"/>
      <c r="W263" s="7" t="str">
        <f t="shared" si="9"/>
        <v/>
      </c>
    </row>
    <row r="264" spans="2:23" customFormat="1">
      <c r="B264" s="71"/>
      <c r="C264" s="71"/>
      <c r="D264" s="72"/>
      <c r="E264" s="12"/>
      <c r="F264" s="107"/>
      <c r="G264" s="11"/>
      <c r="H264" s="13"/>
      <c r="I264" s="14"/>
      <c r="J264" s="13"/>
      <c r="K264" s="10"/>
      <c r="L264" s="10"/>
      <c r="M264" s="7"/>
      <c r="N264" s="10"/>
      <c r="O264" s="1"/>
      <c r="P264" s="21"/>
      <c r="Q264" s="23" t="str">
        <f t="shared" si="8"/>
        <v/>
      </c>
      <c r="R264" s="7"/>
      <c r="S264" s="7"/>
      <c r="W264" s="7" t="str">
        <f t="shared" si="9"/>
        <v/>
      </c>
    </row>
    <row r="265" spans="2:23" customFormat="1">
      <c r="B265" s="71"/>
      <c r="C265" s="71"/>
      <c r="D265" s="72"/>
      <c r="E265" s="12"/>
      <c r="F265" s="107"/>
      <c r="G265" s="11"/>
      <c r="H265" s="13"/>
      <c r="I265" s="14"/>
      <c r="J265" s="13"/>
      <c r="K265" s="10"/>
      <c r="L265" s="10"/>
      <c r="M265" s="7"/>
      <c r="N265" s="10"/>
      <c r="O265" s="1"/>
      <c r="P265" s="21"/>
      <c r="Q265" s="23" t="str">
        <f t="shared" si="8"/>
        <v/>
      </c>
      <c r="R265" s="7"/>
      <c r="S265" s="7"/>
      <c r="W265" s="7" t="str">
        <f t="shared" si="9"/>
        <v/>
      </c>
    </row>
    <row r="266" spans="2:23" customFormat="1">
      <c r="B266" s="71"/>
      <c r="C266" s="71"/>
      <c r="D266" s="72"/>
      <c r="E266" s="12"/>
      <c r="F266" s="107"/>
      <c r="G266" s="11"/>
      <c r="H266" s="13"/>
      <c r="I266" s="14"/>
      <c r="J266" s="13"/>
      <c r="K266" s="10"/>
      <c r="L266" s="10"/>
      <c r="M266" s="7"/>
      <c r="N266" s="10"/>
      <c r="O266" s="1"/>
      <c r="P266" s="21"/>
      <c r="Q266" s="23" t="str">
        <f t="shared" si="8"/>
        <v/>
      </c>
      <c r="R266" s="7"/>
      <c r="S266" s="7"/>
      <c r="W266" s="7" t="str">
        <f t="shared" si="9"/>
        <v/>
      </c>
    </row>
    <row r="267" spans="2:23" customFormat="1">
      <c r="B267" s="71"/>
      <c r="C267" s="71"/>
      <c r="D267" s="72"/>
      <c r="E267" s="12"/>
      <c r="F267" s="107"/>
      <c r="G267" s="11"/>
      <c r="H267" s="13"/>
      <c r="I267" s="14"/>
      <c r="J267" s="13"/>
      <c r="K267" s="10"/>
      <c r="L267" s="10"/>
      <c r="M267" s="7"/>
      <c r="N267" s="10"/>
      <c r="O267" s="1"/>
      <c r="P267" s="21"/>
      <c r="Q267" s="23" t="str">
        <f t="shared" si="8"/>
        <v/>
      </c>
      <c r="R267" s="7"/>
      <c r="S267" s="7"/>
      <c r="W267" s="7" t="str">
        <f t="shared" si="9"/>
        <v/>
      </c>
    </row>
    <row r="268" spans="2:23" customFormat="1">
      <c r="B268" s="71"/>
      <c r="C268" s="71"/>
      <c r="D268" s="72"/>
      <c r="E268" s="12"/>
      <c r="F268" s="107"/>
      <c r="G268" s="11"/>
      <c r="H268" s="13"/>
      <c r="I268" s="14"/>
      <c r="J268" s="13"/>
      <c r="K268" s="10"/>
      <c r="L268" s="10"/>
      <c r="M268" s="7"/>
      <c r="N268" s="10"/>
      <c r="O268" s="1"/>
      <c r="P268" s="21"/>
      <c r="Q268" s="23" t="str">
        <f t="shared" si="8"/>
        <v/>
      </c>
      <c r="R268" s="7"/>
      <c r="S268" s="7"/>
      <c r="W268" s="7" t="str">
        <f t="shared" si="9"/>
        <v/>
      </c>
    </row>
    <row r="269" spans="2:23" customFormat="1">
      <c r="B269" s="71"/>
      <c r="C269" s="71"/>
      <c r="D269" s="72"/>
      <c r="E269" s="12"/>
      <c r="F269" s="107"/>
      <c r="G269" s="11"/>
      <c r="H269" s="13"/>
      <c r="I269" s="14"/>
      <c r="J269" s="13"/>
      <c r="K269" s="10"/>
      <c r="L269" s="10"/>
      <c r="M269" s="7"/>
      <c r="N269" s="10"/>
      <c r="O269" s="1"/>
      <c r="P269" s="21"/>
      <c r="Q269" s="23" t="str">
        <f t="shared" si="8"/>
        <v/>
      </c>
      <c r="R269" s="7"/>
      <c r="S269" s="7"/>
      <c r="W269" s="7" t="str">
        <f t="shared" si="9"/>
        <v/>
      </c>
    </row>
    <row r="270" spans="2:23" customFormat="1">
      <c r="B270" s="71"/>
      <c r="C270" s="71"/>
      <c r="D270" s="72"/>
      <c r="E270" s="12"/>
      <c r="F270" s="107"/>
      <c r="G270" s="11"/>
      <c r="H270" s="13"/>
      <c r="I270" s="14"/>
      <c r="J270" s="13"/>
      <c r="K270" s="10"/>
      <c r="L270" s="10"/>
      <c r="M270" s="7"/>
      <c r="N270" s="10"/>
      <c r="O270" s="1"/>
      <c r="P270" s="21"/>
      <c r="Q270" s="23" t="str">
        <f t="shared" si="8"/>
        <v/>
      </c>
      <c r="R270" s="7"/>
      <c r="S270" s="7"/>
      <c r="W270" s="7" t="str">
        <f t="shared" si="9"/>
        <v/>
      </c>
    </row>
    <row r="271" spans="2:23" customFormat="1">
      <c r="B271" s="71"/>
      <c r="C271" s="71"/>
      <c r="D271" s="72"/>
      <c r="E271" s="12"/>
      <c r="F271" s="107"/>
      <c r="G271" s="11"/>
      <c r="H271" s="13"/>
      <c r="I271" s="14"/>
      <c r="J271" s="13"/>
      <c r="K271" s="10"/>
      <c r="L271" s="10"/>
      <c r="M271" s="7"/>
      <c r="N271" s="10"/>
      <c r="O271" s="1"/>
      <c r="P271" s="21"/>
      <c r="Q271" s="23" t="str">
        <f t="shared" si="8"/>
        <v/>
      </c>
      <c r="R271" s="7"/>
      <c r="S271" s="7"/>
      <c r="W271" s="7" t="str">
        <f t="shared" si="9"/>
        <v/>
      </c>
    </row>
    <row r="272" spans="2:23" customFormat="1">
      <c r="B272" s="71"/>
      <c r="C272" s="71"/>
      <c r="D272" s="72"/>
      <c r="E272" s="12"/>
      <c r="F272" s="107"/>
      <c r="G272" s="11"/>
      <c r="H272" s="13"/>
      <c r="I272" s="14"/>
      <c r="J272" s="13"/>
      <c r="K272" s="10"/>
      <c r="L272" s="10"/>
      <c r="M272" s="7"/>
      <c r="N272" s="10"/>
      <c r="O272" s="1"/>
      <c r="P272" s="21"/>
      <c r="Q272" s="23" t="str">
        <f t="shared" si="8"/>
        <v/>
      </c>
      <c r="R272" s="7"/>
      <c r="S272" s="7"/>
      <c r="W272" s="7" t="str">
        <f t="shared" si="9"/>
        <v/>
      </c>
    </row>
    <row r="273" spans="2:23" customFormat="1">
      <c r="B273" s="71"/>
      <c r="C273" s="71"/>
      <c r="D273" s="72"/>
      <c r="E273" s="12"/>
      <c r="F273" s="107"/>
      <c r="G273" s="11"/>
      <c r="H273" s="13"/>
      <c r="I273" s="14"/>
      <c r="J273" s="13"/>
      <c r="K273" s="10"/>
      <c r="L273" s="10"/>
      <c r="M273" s="7"/>
      <c r="N273" s="10"/>
      <c r="O273" s="1"/>
      <c r="P273" s="21"/>
      <c r="Q273" s="23" t="str">
        <f t="shared" si="8"/>
        <v/>
      </c>
      <c r="R273" s="7"/>
      <c r="S273" s="7"/>
      <c r="W273" s="7" t="str">
        <f t="shared" si="9"/>
        <v/>
      </c>
    </row>
    <row r="274" spans="2:23" customFormat="1">
      <c r="B274" s="71"/>
      <c r="C274" s="71"/>
      <c r="D274" s="72"/>
      <c r="E274" s="12"/>
      <c r="F274" s="107"/>
      <c r="G274" s="11"/>
      <c r="H274" s="13"/>
      <c r="I274" s="14"/>
      <c r="J274" s="13"/>
      <c r="K274" s="10"/>
      <c r="L274" s="10"/>
      <c r="M274" s="7"/>
      <c r="N274" s="10"/>
      <c r="O274" s="1"/>
      <c r="P274" s="21"/>
      <c r="Q274" s="23" t="str">
        <f t="shared" si="8"/>
        <v/>
      </c>
      <c r="R274" s="7"/>
      <c r="S274" s="7"/>
      <c r="W274" s="7" t="str">
        <f t="shared" si="9"/>
        <v/>
      </c>
    </row>
    <row r="275" spans="2:23" customFormat="1">
      <c r="B275" s="71"/>
      <c r="C275" s="71"/>
      <c r="D275" s="72"/>
      <c r="E275" s="12"/>
      <c r="F275" s="107"/>
      <c r="G275" s="11"/>
      <c r="H275" s="13"/>
      <c r="I275" s="14"/>
      <c r="J275" s="13"/>
      <c r="K275" s="10"/>
      <c r="L275" s="10"/>
      <c r="M275" s="7"/>
      <c r="N275" s="10"/>
      <c r="O275" s="1"/>
      <c r="P275" s="21"/>
      <c r="Q275" s="23" t="str">
        <f t="shared" si="8"/>
        <v/>
      </c>
      <c r="R275" s="7"/>
      <c r="S275" s="7"/>
      <c r="W275" s="7" t="str">
        <f t="shared" si="9"/>
        <v/>
      </c>
    </row>
    <row r="276" spans="2:23" customFormat="1">
      <c r="B276" s="71"/>
      <c r="C276" s="71"/>
      <c r="D276" s="72"/>
      <c r="E276" s="12"/>
      <c r="F276" s="107"/>
      <c r="G276" s="11"/>
      <c r="H276" s="13"/>
      <c r="I276" s="14"/>
      <c r="J276" s="13"/>
      <c r="K276" s="10"/>
      <c r="L276" s="10"/>
      <c r="M276" s="7"/>
      <c r="N276" s="10"/>
      <c r="O276" s="1"/>
      <c r="P276" s="21"/>
      <c r="Q276" s="23" t="str">
        <f t="shared" si="8"/>
        <v/>
      </c>
      <c r="R276" s="7"/>
      <c r="S276" s="7"/>
      <c r="W276" s="7" t="str">
        <f t="shared" si="9"/>
        <v/>
      </c>
    </row>
    <row r="277" spans="2:23" customFormat="1">
      <c r="B277" s="71"/>
      <c r="C277" s="71"/>
      <c r="D277" s="72"/>
      <c r="E277" s="12"/>
      <c r="F277" s="107"/>
      <c r="G277" s="11"/>
      <c r="H277" s="13"/>
      <c r="I277" s="14"/>
      <c r="J277" s="13"/>
      <c r="K277" s="10"/>
      <c r="L277" s="10"/>
      <c r="M277" s="7"/>
      <c r="N277" s="10"/>
      <c r="O277" s="1"/>
      <c r="P277" s="21"/>
      <c r="Q277" s="23" t="str">
        <f t="shared" si="8"/>
        <v/>
      </c>
      <c r="R277" s="7"/>
      <c r="S277" s="7"/>
      <c r="W277" s="7" t="str">
        <f t="shared" si="9"/>
        <v/>
      </c>
    </row>
    <row r="278" spans="2:23" customFormat="1">
      <c r="B278" s="71"/>
      <c r="C278" s="71"/>
      <c r="D278" s="72"/>
      <c r="E278" s="12"/>
      <c r="F278" s="107"/>
      <c r="G278" s="11"/>
      <c r="H278" s="13"/>
      <c r="I278" s="14"/>
      <c r="J278" s="13"/>
      <c r="K278" s="10"/>
      <c r="L278" s="10"/>
      <c r="M278" s="7"/>
      <c r="N278" s="10"/>
      <c r="O278" s="1"/>
      <c r="P278" s="21"/>
      <c r="Q278" s="23" t="str">
        <f t="shared" si="8"/>
        <v/>
      </c>
      <c r="R278" s="7"/>
      <c r="S278" s="7"/>
      <c r="W278" s="7" t="str">
        <f t="shared" si="9"/>
        <v/>
      </c>
    </row>
    <row r="279" spans="2:23" customFormat="1">
      <c r="B279" s="71"/>
      <c r="C279" s="71"/>
      <c r="D279" s="72"/>
      <c r="E279" s="12"/>
      <c r="F279" s="107"/>
      <c r="G279" s="11"/>
      <c r="H279" s="13"/>
      <c r="I279" s="14"/>
      <c r="J279" s="13"/>
      <c r="K279" s="10"/>
      <c r="L279" s="10"/>
      <c r="M279" s="7"/>
      <c r="N279" s="10"/>
      <c r="O279" s="1"/>
      <c r="P279" s="21"/>
      <c r="Q279" s="23" t="str">
        <f t="shared" ref="Q279:Q342" si="10">IF(P279="Exemplary", "None; meets or exceeds all minimum requirements.",IF(P279="Strong", "Minor gaps in execution or periodic review; improvement needed.",IF(P279="Developing", "Partial compliance; gaps in documentation, roles, or execution.",IF(P279="Emerging", "Informal or incomplete implementation; missing formal documents or procedures.",IF(P279="Critical", "Control not initiated; no documentation or designation.","")))))</f>
        <v/>
      </c>
      <c r="R279" s="7"/>
      <c r="S279" s="7"/>
      <c r="W279" s="7" t="str">
        <f t="shared" si="9"/>
        <v/>
      </c>
    </row>
    <row r="280" spans="2:23" customFormat="1">
      <c r="B280" s="71"/>
      <c r="C280" s="71"/>
      <c r="D280" s="72"/>
      <c r="E280" s="12"/>
      <c r="F280" s="107"/>
      <c r="G280" s="11"/>
      <c r="H280" s="13"/>
      <c r="I280" s="14"/>
      <c r="J280" s="13"/>
      <c r="K280" s="10"/>
      <c r="L280" s="10"/>
      <c r="M280" s="7"/>
      <c r="N280" s="10"/>
      <c r="O280" s="1"/>
      <c r="P280" s="21"/>
      <c r="Q280" s="23" t="str">
        <f t="shared" si="10"/>
        <v/>
      </c>
      <c r="R280" s="7"/>
      <c r="S280" s="7"/>
      <c r="W280" s="7" t="str">
        <f t="shared" ref="W280:W343" si="11">IFERROR(VALUE(MID(P280,7,1)),"")</f>
        <v/>
      </c>
    </row>
    <row r="281" spans="2:23" customFormat="1">
      <c r="B281" s="71"/>
      <c r="C281" s="71"/>
      <c r="D281" s="72"/>
      <c r="E281" s="12"/>
      <c r="F281" s="107"/>
      <c r="G281" s="11"/>
      <c r="H281" s="13"/>
      <c r="I281" s="14"/>
      <c r="J281" s="13"/>
      <c r="K281" s="10"/>
      <c r="L281" s="10"/>
      <c r="M281" s="7"/>
      <c r="N281" s="10"/>
      <c r="O281" s="1"/>
      <c r="P281" s="21"/>
      <c r="Q281" s="23" t="str">
        <f t="shared" si="10"/>
        <v/>
      </c>
      <c r="R281" s="7"/>
      <c r="S281" s="7"/>
      <c r="W281" s="7" t="str">
        <f t="shared" si="11"/>
        <v/>
      </c>
    </row>
    <row r="282" spans="2:23" customFormat="1">
      <c r="B282" s="71"/>
      <c r="C282" s="71"/>
      <c r="D282" s="72"/>
      <c r="E282" s="12"/>
      <c r="F282" s="107"/>
      <c r="G282" s="11"/>
      <c r="H282" s="13"/>
      <c r="I282" s="14"/>
      <c r="J282" s="13"/>
      <c r="K282" s="10"/>
      <c r="L282" s="10"/>
      <c r="M282" s="7"/>
      <c r="N282" s="10"/>
      <c r="O282" s="1"/>
      <c r="P282" s="21"/>
      <c r="Q282" s="23" t="str">
        <f t="shared" si="10"/>
        <v/>
      </c>
      <c r="R282" s="7"/>
      <c r="S282" s="7"/>
      <c r="W282" s="7" t="str">
        <f t="shared" si="11"/>
        <v/>
      </c>
    </row>
    <row r="283" spans="2:23" customFormat="1">
      <c r="B283" s="71"/>
      <c r="C283" s="71"/>
      <c r="D283" s="72"/>
      <c r="E283" s="12"/>
      <c r="F283" s="107"/>
      <c r="G283" s="11"/>
      <c r="H283" s="13"/>
      <c r="I283" s="14"/>
      <c r="J283" s="13"/>
      <c r="K283" s="10"/>
      <c r="L283" s="10"/>
      <c r="M283" s="7"/>
      <c r="N283" s="10"/>
      <c r="O283" s="1"/>
      <c r="P283" s="21"/>
      <c r="Q283" s="23" t="str">
        <f t="shared" si="10"/>
        <v/>
      </c>
      <c r="R283" s="7"/>
      <c r="S283" s="7"/>
      <c r="W283" s="7" t="str">
        <f t="shared" si="11"/>
        <v/>
      </c>
    </row>
    <row r="284" spans="2:23" customFormat="1">
      <c r="B284" s="71"/>
      <c r="C284" s="71"/>
      <c r="D284" s="72"/>
      <c r="E284" s="12"/>
      <c r="F284" s="107"/>
      <c r="G284" s="11"/>
      <c r="H284" s="13"/>
      <c r="I284" s="14"/>
      <c r="J284" s="13"/>
      <c r="K284" s="10"/>
      <c r="L284" s="10"/>
      <c r="M284" s="7"/>
      <c r="N284" s="10"/>
      <c r="O284" s="1"/>
      <c r="P284" s="21"/>
      <c r="Q284" s="23" t="str">
        <f t="shared" si="10"/>
        <v/>
      </c>
      <c r="R284" s="7"/>
      <c r="S284" s="7"/>
      <c r="W284" s="7" t="str">
        <f t="shared" si="11"/>
        <v/>
      </c>
    </row>
    <row r="285" spans="2:23" customFormat="1">
      <c r="B285" s="71"/>
      <c r="C285" s="71"/>
      <c r="D285" s="72"/>
      <c r="E285" s="12"/>
      <c r="F285" s="107"/>
      <c r="G285" s="11"/>
      <c r="H285" s="13"/>
      <c r="I285" s="14"/>
      <c r="J285" s="13"/>
      <c r="K285" s="10"/>
      <c r="L285" s="10"/>
      <c r="M285" s="7"/>
      <c r="N285" s="10"/>
      <c r="O285" s="1"/>
      <c r="P285" s="21"/>
      <c r="Q285" s="23" t="str">
        <f t="shared" si="10"/>
        <v/>
      </c>
      <c r="R285" s="7"/>
      <c r="S285" s="7"/>
      <c r="W285" s="7" t="str">
        <f t="shared" si="11"/>
        <v/>
      </c>
    </row>
    <row r="286" spans="2:23" customFormat="1">
      <c r="B286" s="71"/>
      <c r="C286" s="71"/>
      <c r="D286" s="72"/>
      <c r="E286" s="12"/>
      <c r="F286" s="107"/>
      <c r="G286" s="11"/>
      <c r="H286" s="13"/>
      <c r="I286" s="14"/>
      <c r="J286" s="13"/>
      <c r="K286" s="10"/>
      <c r="L286" s="10"/>
      <c r="M286" s="7"/>
      <c r="N286" s="10"/>
      <c r="O286" s="1"/>
      <c r="P286" s="21"/>
      <c r="Q286" s="23" t="str">
        <f t="shared" si="10"/>
        <v/>
      </c>
      <c r="R286" s="7"/>
      <c r="S286" s="7"/>
      <c r="W286" s="7" t="str">
        <f t="shared" si="11"/>
        <v/>
      </c>
    </row>
    <row r="287" spans="2:23" customFormat="1">
      <c r="B287" s="71"/>
      <c r="C287" s="71"/>
      <c r="D287" s="72"/>
      <c r="E287" s="12"/>
      <c r="F287" s="107"/>
      <c r="G287" s="11"/>
      <c r="H287" s="13"/>
      <c r="I287" s="14"/>
      <c r="J287" s="13"/>
      <c r="K287" s="10"/>
      <c r="L287" s="10"/>
      <c r="M287" s="7"/>
      <c r="N287" s="10"/>
      <c r="O287" s="1"/>
      <c r="P287" s="21"/>
      <c r="Q287" s="23" t="str">
        <f t="shared" si="10"/>
        <v/>
      </c>
      <c r="R287" s="7"/>
      <c r="S287" s="7"/>
      <c r="W287" s="7" t="str">
        <f t="shared" si="11"/>
        <v/>
      </c>
    </row>
    <row r="288" spans="2:23" customFormat="1">
      <c r="B288" s="71"/>
      <c r="C288" s="71"/>
      <c r="D288" s="72"/>
      <c r="E288" s="12"/>
      <c r="F288" s="107"/>
      <c r="G288" s="11"/>
      <c r="H288" s="13"/>
      <c r="I288" s="14"/>
      <c r="J288" s="13"/>
      <c r="K288" s="10"/>
      <c r="L288" s="10"/>
      <c r="M288" s="7"/>
      <c r="N288" s="10"/>
      <c r="O288" s="1"/>
      <c r="P288" s="21"/>
      <c r="Q288" s="23" t="str">
        <f t="shared" si="10"/>
        <v/>
      </c>
      <c r="R288" s="7"/>
      <c r="S288" s="7"/>
      <c r="W288" s="7" t="str">
        <f t="shared" si="11"/>
        <v/>
      </c>
    </row>
    <row r="289" spans="2:23" customFormat="1">
      <c r="B289" s="71"/>
      <c r="C289" s="71"/>
      <c r="D289" s="72"/>
      <c r="E289" s="12"/>
      <c r="F289" s="107"/>
      <c r="G289" s="11"/>
      <c r="H289" s="13"/>
      <c r="I289" s="14"/>
      <c r="J289" s="13"/>
      <c r="K289" s="10"/>
      <c r="L289" s="10"/>
      <c r="M289" s="7"/>
      <c r="N289" s="10"/>
      <c r="O289" s="1"/>
      <c r="P289" s="21"/>
      <c r="Q289" s="23" t="str">
        <f t="shared" si="10"/>
        <v/>
      </c>
      <c r="R289" s="7"/>
      <c r="S289" s="7"/>
      <c r="W289" s="7" t="str">
        <f t="shared" si="11"/>
        <v/>
      </c>
    </row>
    <row r="290" spans="2:23" customFormat="1">
      <c r="B290" s="71"/>
      <c r="C290" s="71"/>
      <c r="D290" s="72"/>
      <c r="E290" s="12"/>
      <c r="F290" s="107"/>
      <c r="G290" s="11"/>
      <c r="H290" s="13"/>
      <c r="I290" s="14"/>
      <c r="J290" s="13"/>
      <c r="K290" s="10"/>
      <c r="L290" s="10"/>
      <c r="M290" s="7"/>
      <c r="N290" s="10"/>
      <c r="O290" s="1"/>
      <c r="P290" s="21"/>
      <c r="Q290" s="23" t="str">
        <f t="shared" si="10"/>
        <v/>
      </c>
      <c r="R290" s="7"/>
      <c r="S290" s="7"/>
      <c r="W290" s="7" t="str">
        <f t="shared" si="11"/>
        <v/>
      </c>
    </row>
    <row r="291" spans="2:23" customFormat="1">
      <c r="B291" s="71"/>
      <c r="C291" s="71"/>
      <c r="D291" s="72"/>
      <c r="E291" s="12"/>
      <c r="F291" s="107"/>
      <c r="G291" s="11"/>
      <c r="H291" s="13"/>
      <c r="I291" s="14"/>
      <c r="J291" s="13"/>
      <c r="K291" s="10"/>
      <c r="L291" s="10"/>
      <c r="M291" s="7"/>
      <c r="N291" s="10"/>
      <c r="O291" s="1"/>
      <c r="P291" s="21"/>
      <c r="Q291" s="23" t="str">
        <f t="shared" si="10"/>
        <v/>
      </c>
      <c r="R291" s="7"/>
      <c r="S291" s="7"/>
      <c r="W291" s="7" t="str">
        <f t="shared" si="11"/>
        <v/>
      </c>
    </row>
    <row r="292" spans="2:23" customFormat="1">
      <c r="B292" s="71"/>
      <c r="C292" s="71"/>
      <c r="D292" s="72"/>
      <c r="E292" s="12"/>
      <c r="F292" s="107"/>
      <c r="G292" s="11"/>
      <c r="H292" s="13"/>
      <c r="I292" s="14"/>
      <c r="J292" s="13"/>
      <c r="K292" s="10"/>
      <c r="L292" s="10"/>
      <c r="M292" s="7"/>
      <c r="N292" s="10"/>
      <c r="O292" s="1"/>
      <c r="P292" s="21"/>
      <c r="Q292" s="23" t="str">
        <f t="shared" si="10"/>
        <v/>
      </c>
      <c r="R292" s="7"/>
      <c r="S292" s="7"/>
      <c r="W292" s="7" t="str">
        <f t="shared" si="11"/>
        <v/>
      </c>
    </row>
    <row r="293" spans="2:23" customFormat="1">
      <c r="B293" s="71"/>
      <c r="C293" s="71"/>
      <c r="D293" s="72"/>
      <c r="E293" s="12"/>
      <c r="F293" s="107"/>
      <c r="G293" s="11"/>
      <c r="H293" s="13"/>
      <c r="I293" s="14"/>
      <c r="J293" s="13"/>
      <c r="K293" s="10"/>
      <c r="L293" s="10"/>
      <c r="M293" s="7"/>
      <c r="N293" s="10"/>
      <c r="O293" s="1"/>
      <c r="P293" s="21"/>
      <c r="Q293" s="23" t="str">
        <f t="shared" si="10"/>
        <v/>
      </c>
      <c r="R293" s="7"/>
      <c r="S293" s="7"/>
      <c r="W293" s="7" t="str">
        <f t="shared" si="11"/>
        <v/>
      </c>
    </row>
    <row r="294" spans="2:23" customFormat="1">
      <c r="B294" s="71"/>
      <c r="C294" s="71"/>
      <c r="D294" s="72"/>
      <c r="E294" s="12"/>
      <c r="F294" s="107"/>
      <c r="G294" s="11"/>
      <c r="H294" s="13"/>
      <c r="I294" s="14"/>
      <c r="J294" s="13"/>
      <c r="K294" s="10"/>
      <c r="L294" s="10"/>
      <c r="M294" s="7"/>
      <c r="N294" s="10"/>
      <c r="O294" s="1"/>
      <c r="P294" s="21"/>
      <c r="Q294" s="23" t="str">
        <f t="shared" si="10"/>
        <v/>
      </c>
      <c r="R294" s="7"/>
      <c r="S294" s="7"/>
      <c r="W294" s="7" t="str">
        <f t="shared" si="11"/>
        <v/>
      </c>
    </row>
    <row r="295" spans="2:23" customFormat="1">
      <c r="B295" s="71"/>
      <c r="C295" s="71"/>
      <c r="D295" s="72"/>
      <c r="E295" s="12"/>
      <c r="F295" s="107"/>
      <c r="G295" s="11"/>
      <c r="H295" s="13"/>
      <c r="I295" s="14"/>
      <c r="J295" s="13"/>
      <c r="K295" s="10"/>
      <c r="L295" s="10"/>
      <c r="M295" s="7"/>
      <c r="N295" s="10"/>
      <c r="O295" s="1"/>
      <c r="P295" s="21"/>
      <c r="Q295" s="23" t="str">
        <f t="shared" si="10"/>
        <v/>
      </c>
      <c r="R295" s="7"/>
      <c r="S295" s="7"/>
      <c r="W295" s="7" t="str">
        <f t="shared" si="11"/>
        <v/>
      </c>
    </row>
    <row r="296" spans="2:23" customFormat="1">
      <c r="B296" s="71"/>
      <c r="C296" s="71"/>
      <c r="D296" s="72"/>
      <c r="E296" s="12"/>
      <c r="F296" s="107"/>
      <c r="G296" s="11"/>
      <c r="H296" s="13"/>
      <c r="I296" s="14"/>
      <c r="J296" s="13"/>
      <c r="K296" s="10"/>
      <c r="L296" s="10"/>
      <c r="M296" s="7"/>
      <c r="N296" s="10"/>
      <c r="O296" s="1"/>
      <c r="P296" s="21"/>
      <c r="Q296" s="23" t="str">
        <f t="shared" si="10"/>
        <v/>
      </c>
      <c r="R296" s="7"/>
      <c r="S296" s="7"/>
      <c r="W296" s="7" t="str">
        <f t="shared" si="11"/>
        <v/>
      </c>
    </row>
    <row r="297" spans="2:23" customFormat="1">
      <c r="B297" s="71"/>
      <c r="C297" s="71"/>
      <c r="D297" s="72"/>
      <c r="E297" s="12"/>
      <c r="F297" s="107"/>
      <c r="G297" s="11"/>
      <c r="H297" s="13"/>
      <c r="I297" s="14"/>
      <c r="J297" s="13"/>
      <c r="K297" s="10"/>
      <c r="L297" s="10"/>
      <c r="M297" s="7"/>
      <c r="N297" s="10"/>
      <c r="O297" s="1"/>
      <c r="P297" s="21"/>
      <c r="Q297" s="23" t="str">
        <f t="shared" si="10"/>
        <v/>
      </c>
      <c r="R297" s="7"/>
      <c r="S297" s="7"/>
      <c r="W297" s="7" t="str">
        <f t="shared" si="11"/>
        <v/>
      </c>
    </row>
    <row r="298" spans="2:23" customFormat="1">
      <c r="B298" s="71"/>
      <c r="C298" s="71"/>
      <c r="D298" s="72"/>
      <c r="E298" s="12"/>
      <c r="F298" s="107"/>
      <c r="G298" s="11"/>
      <c r="H298" s="13"/>
      <c r="I298" s="14"/>
      <c r="J298" s="13"/>
      <c r="K298" s="10"/>
      <c r="L298" s="10"/>
      <c r="M298" s="7"/>
      <c r="N298" s="10"/>
      <c r="O298" s="1"/>
      <c r="P298" s="21"/>
      <c r="Q298" s="23" t="str">
        <f t="shared" si="10"/>
        <v/>
      </c>
      <c r="R298" s="7"/>
      <c r="S298" s="7"/>
      <c r="W298" s="7" t="str">
        <f t="shared" si="11"/>
        <v/>
      </c>
    </row>
    <row r="299" spans="2:23" customFormat="1">
      <c r="B299" s="71"/>
      <c r="C299" s="71"/>
      <c r="D299" s="72"/>
      <c r="E299" s="12"/>
      <c r="F299" s="107"/>
      <c r="G299" s="11"/>
      <c r="H299" s="13"/>
      <c r="I299" s="14"/>
      <c r="J299" s="13"/>
      <c r="K299" s="10"/>
      <c r="L299" s="10"/>
      <c r="M299" s="7"/>
      <c r="N299" s="10"/>
      <c r="O299" s="1"/>
      <c r="P299" s="21"/>
      <c r="Q299" s="23" t="str">
        <f t="shared" si="10"/>
        <v/>
      </c>
      <c r="R299" s="7"/>
      <c r="S299" s="7"/>
      <c r="W299" s="7" t="str">
        <f t="shared" si="11"/>
        <v/>
      </c>
    </row>
    <row r="300" spans="2:23" customFormat="1">
      <c r="B300" s="71"/>
      <c r="C300" s="71"/>
      <c r="D300" s="72"/>
      <c r="E300" s="12"/>
      <c r="F300" s="107"/>
      <c r="G300" s="11"/>
      <c r="H300" s="13"/>
      <c r="I300" s="14"/>
      <c r="J300" s="13"/>
      <c r="K300" s="10"/>
      <c r="L300" s="10"/>
      <c r="M300" s="7"/>
      <c r="N300" s="10"/>
      <c r="O300" s="1"/>
      <c r="P300" s="21"/>
      <c r="Q300" s="23" t="str">
        <f t="shared" si="10"/>
        <v/>
      </c>
      <c r="R300" s="7"/>
      <c r="S300" s="7"/>
      <c r="W300" s="7" t="str">
        <f t="shared" si="11"/>
        <v/>
      </c>
    </row>
    <row r="301" spans="2:23" customFormat="1">
      <c r="B301" s="71"/>
      <c r="C301" s="71"/>
      <c r="D301" s="72"/>
      <c r="E301" s="12"/>
      <c r="F301" s="107"/>
      <c r="G301" s="11"/>
      <c r="H301" s="13"/>
      <c r="I301" s="14"/>
      <c r="J301" s="13"/>
      <c r="K301" s="10"/>
      <c r="L301" s="10"/>
      <c r="M301" s="7"/>
      <c r="N301" s="10"/>
      <c r="O301" s="1"/>
      <c r="P301" s="21"/>
      <c r="Q301" s="23" t="str">
        <f t="shared" si="10"/>
        <v/>
      </c>
      <c r="R301" s="7"/>
      <c r="S301" s="7"/>
      <c r="W301" s="7" t="str">
        <f t="shared" si="11"/>
        <v/>
      </c>
    </row>
    <row r="302" spans="2:23" customFormat="1">
      <c r="B302" s="71"/>
      <c r="C302" s="71"/>
      <c r="D302" s="72"/>
      <c r="E302" s="12"/>
      <c r="F302" s="107"/>
      <c r="G302" s="11"/>
      <c r="H302" s="13"/>
      <c r="I302" s="14"/>
      <c r="J302" s="13"/>
      <c r="K302" s="10"/>
      <c r="L302" s="10"/>
      <c r="M302" s="7"/>
      <c r="N302" s="10"/>
      <c r="O302" s="1"/>
      <c r="P302" s="21"/>
      <c r="Q302" s="23" t="str">
        <f t="shared" si="10"/>
        <v/>
      </c>
      <c r="R302" s="7"/>
      <c r="S302" s="7"/>
      <c r="W302" s="7" t="str">
        <f t="shared" si="11"/>
        <v/>
      </c>
    </row>
    <row r="303" spans="2:23" customFormat="1">
      <c r="B303" s="71"/>
      <c r="C303" s="71"/>
      <c r="D303" s="72"/>
      <c r="E303" s="12"/>
      <c r="F303" s="107"/>
      <c r="G303" s="11"/>
      <c r="H303" s="13"/>
      <c r="I303" s="14"/>
      <c r="J303" s="13"/>
      <c r="K303" s="10"/>
      <c r="L303" s="10"/>
      <c r="M303" s="7"/>
      <c r="N303" s="10"/>
      <c r="O303" s="1"/>
      <c r="P303" s="21"/>
      <c r="Q303" s="23" t="str">
        <f t="shared" si="10"/>
        <v/>
      </c>
      <c r="R303" s="7"/>
      <c r="S303" s="7"/>
      <c r="W303" s="7" t="str">
        <f t="shared" si="11"/>
        <v/>
      </c>
    </row>
    <row r="304" spans="2:23" customFormat="1">
      <c r="B304" s="71"/>
      <c r="C304" s="71"/>
      <c r="D304" s="72"/>
      <c r="E304" s="12"/>
      <c r="F304" s="107"/>
      <c r="G304" s="11"/>
      <c r="H304" s="13"/>
      <c r="I304" s="14"/>
      <c r="J304" s="13"/>
      <c r="K304" s="10"/>
      <c r="L304" s="10"/>
      <c r="M304" s="7"/>
      <c r="N304" s="10"/>
      <c r="O304" s="1"/>
      <c r="P304" s="21"/>
      <c r="Q304" s="23" t="str">
        <f t="shared" si="10"/>
        <v/>
      </c>
      <c r="R304" s="7"/>
      <c r="S304" s="7"/>
      <c r="W304" s="7" t="str">
        <f t="shared" si="11"/>
        <v/>
      </c>
    </row>
    <row r="305" spans="2:23" customFormat="1">
      <c r="B305" s="71"/>
      <c r="C305" s="71"/>
      <c r="D305" s="72"/>
      <c r="E305" s="12"/>
      <c r="F305" s="107"/>
      <c r="G305" s="11"/>
      <c r="H305" s="13"/>
      <c r="I305" s="14"/>
      <c r="J305" s="13"/>
      <c r="K305" s="10"/>
      <c r="L305" s="10"/>
      <c r="M305" s="7"/>
      <c r="N305" s="10"/>
      <c r="O305" s="1"/>
      <c r="P305" s="21"/>
      <c r="Q305" s="23" t="str">
        <f t="shared" si="10"/>
        <v/>
      </c>
      <c r="R305" s="7"/>
      <c r="S305" s="7"/>
      <c r="W305" s="7" t="str">
        <f t="shared" si="11"/>
        <v/>
      </c>
    </row>
    <row r="306" spans="2:23" customFormat="1">
      <c r="B306" s="71"/>
      <c r="C306" s="71"/>
      <c r="D306" s="72"/>
      <c r="E306" s="12"/>
      <c r="F306" s="107"/>
      <c r="G306" s="11"/>
      <c r="H306" s="13"/>
      <c r="I306" s="14"/>
      <c r="J306" s="13"/>
      <c r="K306" s="10"/>
      <c r="L306" s="10"/>
      <c r="M306" s="7"/>
      <c r="N306" s="10"/>
      <c r="O306" s="1"/>
      <c r="P306" s="21"/>
      <c r="Q306" s="23" t="str">
        <f t="shared" si="10"/>
        <v/>
      </c>
      <c r="R306" s="7"/>
      <c r="S306" s="7"/>
      <c r="W306" s="7" t="str">
        <f t="shared" si="11"/>
        <v/>
      </c>
    </row>
    <row r="307" spans="2:23" customFormat="1">
      <c r="B307" s="71"/>
      <c r="C307" s="71"/>
      <c r="D307" s="72"/>
      <c r="E307" s="12"/>
      <c r="F307" s="107"/>
      <c r="G307" s="11"/>
      <c r="H307" s="13"/>
      <c r="I307" s="14"/>
      <c r="J307" s="13"/>
      <c r="K307" s="10"/>
      <c r="L307" s="10"/>
      <c r="M307" s="7"/>
      <c r="N307" s="10"/>
      <c r="O307" s="1"/>
      <c r="P307" s="21"/>
      <c r="Q307" s="23" t="str">
        <f t="shared" si="10"/>
        <v/>
      </c>
      <c r="R307" s="7"/>
      <c r="S307" s="7"/>
      <c r="W307" s="7" t="str">
        <f t="shared" si="11"/>
        <v/>
      </c>
    </row>
    <row r="308" spans="2:23" customFormat="1">
      <c r="B308" s="71"/>
      <c r="C308" s="71"/>
      <c r="D308" s="72"/>
      <c r="E308" s="12"/>
      <c r="F308" s="107"/>
      <c r="G308" s="11"/>
      <c r="H308" s="13"/>
      <c r="I308" s="14"/>
      <c r="J308" s="13"/>
      <c r="K308" s="10"/>
      <c r="L308" s="10"/>
      <c r="M308" s="7"/>
      <c r="N308" s="10"/>
      <c r="O308" s="1"/>
      <c r="P308" s="21"/>
      <c r="Q308" s="23" t="str">
        <f t="shared" si="10"/>
        <v/>
      </c>
      <c r="R308" s="7"/>
      <c r="S308" s="7"/>
      <c r="W308" s="7" t="str">
        <f t="shared" si="11"/>
        <v/>
      </c>
    </row>
    <row r="309" spans="2:23" customFormat="1">
      <c r="B309" s="71"/>
      <c r="C309" s="71"/>
      <c r="D309" s="72"/>
      <c r="E309" s="12"/>
      <c r="F309" s="107"/>
      <c r="G309" s="11"/>
      <c r="H309" s="13"/>
      <c r="I309" s="14"/>
      <c r="J309" s="13"/>
      <c r="K309" s="10"/>
      <c r="L309" s="10"/>
      <c r="M309" s="7"/>
      <c r="N309" s="10"/>
      <c r="O309" s="1"/>
      <c r="P309" s="21"/>
      <c r="Q309" s="23" t="str">
        <f t="shared" si="10"/>
        <v/>
      </c>
      <c r="R309" s="7"/>
      <c r="S309" s="7"/>
      <c r="W309" s="7" t="str">
        <f t="shared" si="11"/>
        <v/>
      </c>
    </row>
    <row r="310" spans="2:23" customFormat="1">
      <c r="B310" s="71"/>
      <c r="C310" s="71"/>
      <c r="D310" s="72"/>
      <c r="E310" s="12"/>
      <c r="F310" s="107"/>
      <c r="G310" s="11"/>
      <c r="H310" s="13"/>
      <c r="I310" s="14"/>
      <c r="J310" s="13"/>
      <c r="K310" s="10"/>
      <c r="L310" s="10"/>
      <c r="M310" s="7"/>
      <c r="N310" s="10"/>
      <c r="O310" s="1"/>
      <c r="P310" s="21"/>
      <c r="Q310" s="23" t="str">
        <f t="shared" si="10"/>
        <v/>
      </c>
      <c r="R310" s="7"/>
      <c r="S310" s="7"/>
      <c r="W310" s="7" t="str">
        <f t="shared" si="11"/>
        <v/>
      </c>
    </row>
    <row r="311" spans="2:23" customFormat="1">
      <c r="B311" s="71"/>
      <c r="C311" s="71"/>
      <c r="D311" s="72"/>
      <c r="E311" s="12"/>
      <c r="F311" s="107"/>
      <c r="G311" s="11"/>
      <c r="H311" s="13"/>
      <c r="I311" s="14"/>
      <c r="J311" s="13"/>
      <c r="K311" s="10"/>
      <c r="L311" s="10"/>
      <c r="M311" s="7"/>
      <c r="N311" s="10"/>
      <c r="O311" s="1"/>
      <c r="P311" s="21"/>
      <c r="Q311" s="23" t="str">
        <f t="shared" si="10"/>
        <v/>
      </c>
      <c r="R311" s="7"/>
      <c r="S311" s="7"/>
      <c r="W311" s="7" t="str">
        <f t="shared" si="11"/>
        <v/>
      </c>
    </row>
    <row r="312" spans="2:23" customFormat="1">
      <c r="B312" s="71"/>
      <c r="C312" s="71"/>
      <c r="D312" s="72"/>
      <c r="E312" s="12"/>
      <c r="F312" s="107"/>
      <c r="G312" s="11"/>
      <c r="H312" s="13"/>
      <c r="I312" s="14"/>
      <c r="J312" s="13"/>
      <c r="K312" s="10"/>
      <c r="L312" s="10"/>
      <c r="M312" s="7"/>
      <c r="N312" s="10"/>
      <c r="O312" s="1"/>
      <c r="P312" s="21"/>
      <c r="Q312" s="23" t="str">
        <f t="shared" si="10"/>
        <v/>
      </c>
      <c r="R312" s="7"/>
      <c r="S312" s="7"/>
      <c r="W312" s="7" t="str">
        <f t="shared" si="11"/>
        <v/>
      </c>
    </row>
    <row r="313" spans="2:23" customFormat="1">
      <c r="B313" s="71"/>
      <c r="C313" s="71"/>
      <c r="D313" s="72"/>
      <c r="E313" s="12"/>
      <c r="F313" s="107"/>
      <c r="G313" s="11"/>
      <c r="H313" s="13"/>
      <c r="I313" s="14"/>
      <c r="J313" s="13"/>
      <c r="K313" s="10"/>
      <c r="L313" s="10"/>
      <c r="M313" s="7"/>
      <c r="N313" s="10"/>
      <c r="O313" s="1"/>
      <c r="P313" s="21"/>
      <c r="Q313" s="23" t="str">
        <f t="shared" si="10"/>
        <v/>
      </c>
      <c r="R313" s="7"/>
      <c r="S313" s="7"/>
      <c r="W313" s="7" t="str">
        <f t="shared" si="11"/>
        <v/>
      </c>
    </row>
    <row r="314" spans="2:23" customFormat="1">
      <c r="B314" s="71"/>
      <c r="C314" s="71"/>
      <c r="D314" s="72"/>
      <c r="E314" s="12"/>
      <c r="F314" s="107"/>
      <c r="G314" s="11"/>
      <c r="H314" s="13"/>
      <c r="I314" s="14"/>
      <c r="J314" s="13"/>
      <c r="K314" s="10"/>
      <c r="L314" s="10"/>
      <c r="M314" s="7"/>
      <c r="N314" s="10"/>
      <c r="O314" s="1"/>
      <c r="P314" s="21"/>
      <c r="Q314" s="23" t="str">
        <f t="shared" si="10"/>
        <v/>
      </c>
      <c r="R314" s="7"/>
      <c r="S314" s="7"/>
      <c r="W314" s="7" t="str">
        <f t="shared" si="11"/>
        <v/>
      </c>
    </row>
    <row r="315" spans="2:23" customFormat="1">
      <c r="B315" s="71"/>
      <c r="C315" s="71"/>
      <c r="D315" s="72"/>
      <c r="E315" s="12"/>
      <c r="F315" s="107"/>
      <c r="G315" s="11"/>
      <c r="H315" s="13"/>
      <c r="I315" s="14"/>
      <c r="J315" s="13"/>
      <c r="K315" s="10"/>
      <c r="L315" s="10"/>
      <c r="M315" s="7"/>
      <c r="N315" s="10"/>
      <c r="O315" s="1"/>
      <c r="P315" s="21"/>
      <c r="Q315" s="23" t="str">
        <f t="shared" si="10"/>
        <v/>
      </c>
      <c r="R315" s="7"/>
      <c r="S315" s="7"/>
      <c r="W315" s="7" t="str">
        <f t="shared" si="11"/>
        <v/>
      </c>
    </row>
    <row r="316" spans="2:23" customFormat="1">
      <c r="B316" s="71"/>
      <c r="C316" s="71"/>
      <c r="D316" s="72"/>
      <c r="E316" s="12"/>
      <c r="F316" s="107"/>
      <c r="G316" s="11"/>
      <c r="H316" s="13"/>
      <c r="I316" s="14"/>
      <c r="J316" s="13"/>
      <c r="K316" s="10"/>
      <c r="L316" s="10"/>
      <c r="M316" s="7"/>
      <c r="N316" s="10"/>
      <c r="O316" s="1"/>
      <c r="P316" s="21"/>
      <c r="Q316" s="23" t="str">
        <f t="shared" si="10"/>
        <v/>
      </c>
      <c r="R316" s="7"/>
      <c r="S316" s="7"/>
      <c r="W316" s="7" t="str">
        <f t="shared" si="11"/>
        <v/>
      </c>
    </row>
    <row r="317" spans="2:23" customFormat="1">
      <c r="B317" s="71"/>
      <c r="C317" s="71"/>
      <c r="D317" s="72"/>
      <c r="E317" s="12"/>
      <c r="F317" s="107"/>
      <c r="G317" s="11"/>
      <c r="H317" s="13"/>
      <c r="I317" s="14"/>
      <c r="J317" s="13"/>
      <c r="K317" s="10"/>
      <c r="L317" s="10"/>
      <c r="M317" s="7"/>
      <c r="N317" s="10"/>
      <c r="O317" s="1"/>
      <c r="P317" s="21"/>
      <c r="Q317" s="23" t="str">
        <f t="shared" si="10"/>
        <v/>
      </c>
      <c r="R317" s="7"/>
      <c r="S317" s="7"/>
      <c r="W317" s="7" t="str">
        <f t="shared" si="11"/>
        <v/>
      </c>
    </row>
    <row r="318" spans="2:23" customFormat="1">
      <c r="B318" s="71"/>
      <c r="C318" s="71"/>
      <c r="D318" s="72"/>
      <c r="E318" s="12"/>
      <c r="F318" s="107"/>
      <c r="G318" s="11"/>
      <c r="H318" s="13"/>
      <c r="I318" s="14"/>
      <c r="J318" s="13"/>
      <c r="K318" s="10"/>
      <c r="L318" s="10"/>
      <c r="M318" s="7"/>
      <c r="N318" s="10"/>
      <c r="O318" s="1"/>
      <c r="P318" s="21"/>
      <c r="Q318" s="23" t="str">
        <f t="shared" si="10"/>
        <v/>
      </c>
      <c r="R318" s="7"/>
      <c r="S318" s="7"/>
      <c r="W318" s="7" t="str">
        <f t="shared" si="11"/>
        <v/>
      </c>
    </row>
    <row r="319" spans="2:23" customFormat="1">
      <c r="B319" s="71"/>
      <c r="C319" s="71"/>
      <c r="D319" s="72"/>
      <c r="E319" s="12"/>
      <c r="F319" s="107"/>
      <c r="G319" s="11"/>
      <c r="H319" s="13"/>
      <c r="I319" s="14"/>
      <c r="J319" s="13"/>
      <c r="K319" s="10"/>
      <c r="L319" s="10"/>
      <c r="M319" s="7"/>
      <c r="N319" s="10"/>
      <c r="O319" s="1"/>
      <c r="P319" s="21"/>
      <c r="Q319" s="23" t="str">
        <f t="shared" si="10"/>
        <v/>
      </c>
      <c r="R319" s="7"/>
      <c r="S319" s="7"/>
      <c r="W319" s="7" t="str">
        <f t="shared" si="11"/>
        <v/>
      </c>
    </row>
    <row r="320" spans="2:23" customFormat="1">
      <c r="B320" s="71"/>
      <c r="C320" s="71"/>
      <c r="D320" s="72"/>
      <c r="E320" s="12"/>
      <c r="F320" s="107"/>
      <c r="G320" s="11"/>
      <c r="H320" s="13"/>
      <c r="I320" s="14"/>
      <c r="J320" s="13"/>
      <c r="K320" s="10"/>
      <c r="L320" s="10"/>
      <c r="M320" s="7"/>
      <c r="N320" s="10"/>
      <c r="O320" s="1"/>
      <c r="P320" s="21"/>
      <c r="Q320" s="23" t="str">
        <f t="shared" si="10"/>
        <v/>
      </c>
      <c r="R320" s="7"/>
      <c r="S320" s="7"/>
      <c r="W320" s="7" t="str">
        <f t="shared" si="11"/>
        <v/>
      </c>
    </row>
    <row r="321" spans="2:23" customFormat="1">
      <c r="B321" s="71"/>
      <c r="C321" s="71"/>
      <c r="D321" s="72"/>
      <c r="E321" s="12"/>
      <c r="F321" s="107"/>
      <c r="G321" s="11"/>
      <c r="H321" s="13"/>
      <c r="I321" s="14"/>
      <c r="J321" s="13"/>
      <c r="K321" s="10"/>
      <c r="L321" s="10"/>
      <c r="M321" s="7"/>
      <c r="N321" s="10"/>
      <c r="O321" s="1"/>
      <c r="P321" s="21"/>
      <c r="Q321" s="23" t="str">
        <f t="shared" si="10"/>
        <v/>
      </c>
      <c r="R321" s="7"/>
      <c r="S321" s="7"/>
      <c r="W321" s="7" t="str">
        <f t="shared" si="11"/>
        <v/>
      </c>
    </row>
    <row r="322" spans="2:23" customFormat="1">
      <c r="B322" s="71"/>
      <c r="C322" s="71"/>
      <c r="D322" s="72"/>
      <c r="E322" s="12"/>
      <c r="F322" s="107"/>
      <c r="G322" s="11"/>
      <c r="H322" s="13"/>
      <c r="I322" s="14"/>
      <c r="J322" s="13"/>
      <c r="K322" s="10"/>
      <c r="L322" s="10"/>
      <c r="M322" s="7"/>
      <c r="N322" s="10"/>
      <c r="O322" s="1"/>
      <c r="P322" s="21"/>
      <c r="Q322" s="23" t="str">
        <f t="shared" si="10"/>
        <v/>
      </c>
      <c r="R322" s="7"/>
      <c r="S322" s="7"/>
      <c r="W322" s="7" t="str">
        <f t="shared" si="11"/>
        <v/>
      </c>
    </row>
    <row r="323" spans="2:23" customFormat="1">
      <c r="B323" s="71"/>
      <c r="C323" s="71"/>
      <c r="D323" s="72"/>
      <c r="E323" s="12"/>
      <c r="F323" s="107"/>
      <c r="G323" s="11"/>
      <c r="H323" s="13"/>
      <c r="I323" s="14"/>
      <c r="J323" s="13"/>
      <c r="K323" s="10"/>
      <c r="L323" s="10"/>
      <c r="M323" s="7"/>
      <c r="N323" s="10"/>
      <c r="O323" s="1"/>
      <c r="P323" s="21"/>
      <c r="Q323" s="23" t="str">
        <f t="shared" si="10"/>
        <v/>
      </c>
      <c r="R323" s="7"/>
      <c r="S323" s="7"/>
      <c r="W323" s="7" t="str">
        <f t="shared" si="11"/>
        <v/>
      </c>
    </row>
    <row r="324" spans="2:23" customFormat="1">
      <c r="B324" s="71"/>
      <c r="C324" s="71"/>
      <c r="D324" s="72"/>
      <c r="E324" s="12"/>
      <c r="F324" s="107"/>
      <c r="G324" s="11"/>
      <c r="H324" s="13"/>
      <c r="I324" s="14"/>
      <c r="J324" s="13"/>
      <c r="K324" s="10"/>
      <c r="L324" s="10"/>
      <c r="M324" s="7"/>
      <c r="N324" s="10"/>
      <c r="O324" s="1"/>
      <c r="P324" s="21"/>
      <c r="Q324" s="23" t="str">
        <f t="shared" si="10"/>
        <v/>
      </c>
      <c r="R324" s="7"/>
      <c r="S324" s="7"/>
      <c r="W324" s="7" t="str">
        <f t="shared" si="11"/>
        <v/>
      </c>
    </row>
    <row r="325" spans="2:23" customFormat="1">
      <c r="B325" s="71"/>
      <c r="C325" s="71"/>
      <c r="D325" s="72"/>
      <c r="E325" s="12"/>
      <c r="F325" s="107"/>
      <c r="G325" s="11"/>
      <c r="H325" s="13"/>
      <c r="I325" s="14"/>
      <c r="J325" s="13"/>
      <c r="K325" s="10"/>
      <c r="L325" s="10"/>
      <c r="M325" s="7"/>
      <c r="N325" s="10"/>
      <c r="O325" s="1"/>
      <c r="P325" s="21"/>
      <c r="Q325" s="23" t="str">
        <f t="shared" si="10"/>
        <v/>
      </c>
      <c r="R325" s="7"/>
      <c r="S325" s="7"/>
      <c r="W325" s="7" t="str">
        <f t="shared" si="11"/>
        <v/>
      </c>
    </row>
    <row r="326" spans="2:23" customFormat="1">
      <c r="B326" s="71"/>
      <c r="C326" s="71"/>
      <c r="D326" s="72"/>
      <c r="E326" s="12"/>
      <c r="F326" s="107"/>
      <c r="G326" s="11"/>
      <c r="H326" s="13"/>
      <c r="I326" s="14"/>
      <c r="J326" s="13"/>
      <c r="K326" s="10"/>
      <c r="L326" s="10"/>
      <c r="M326" s="7"/>
      <c r="N326" s="10"/>
      <c r="O326" s="1"/>
      <c r="P326" s="21"/>
      <c r="Q326" s="23" t="str">
        <f t="shared" si="10"/>
        <v/>
      </c>
      <c r="R326" s="7"/>
      <c r="S326" s="7"/>
      <c r="W326" s="7" t="str">
        <f t="shared" si="11"/>
        <v/>
      </c>
    </row>
    <row r="327" spans="2:23" customFormat="1">
      <c r="B327" s="71"/>
      <c r="C327" s="71"/>
      <c r="D327" s="72"/>
      <c r="E327" s="12"/>
      <c r="F327" s="107"/>
      <c r="G327" s="11"/>
      <c r="H327" s="13"/>
      <c r="I327" s="14"/>
      <c r="J327" s="13"/>
      <c r="K327" s="10"/>
      <c r="L327" s="10"/>
      <c r="M327" s="7"/>
      <c r="N327" s="10"/>
      <c r="O327" s="1"/>
      <c r="P327" s="21"/>
      <c r="Q327" s="23" t="str">
        <f t="shared" si="10"/>
        <v/>
      </c>
      <c r="R327" s="7"/>
      <c r="S327" s="7"/>
      <c r="W327" s="7" t="str">
        <f t="shared" si="11"/>
        <v/>
      </c>
    </row>
    <row r="328" spans="2:23" customFormat="1">
      <c r="B328" s="71"/>
      <c r="C328" s="71"/>
      <c r="D328" s="72"/>
      <c r="E328" s="12"/>
      <c r="F328" s="107"/>
      <c r="G328" s="11"/>
      <c r="H328" s="13"/>
      <c r="I328" s="14"/>
      <c r="J328" s="13"/>
      <c r="K328" s="10"/>
      <c r="L328" s="10"/>
      <c r="M328" s="7"/>
      <c r="N328" s="10"/>
      <c r="O328" s="1"/>
      <c r="P328" s="21"/>
      <c r="Q328" s="23" t="str">
        <f t="shared" si="10"/>
        <v/>
      </c>
      <c r="R328" s="7"/>
      <c r="S328" s="7"/>
      <c r="W328" s="7" t="str">
        <f t="shared" si="11"/>
        <v/>
      </c>
    </row>
    <row r="329" spans="2:23" customFormat="1">
      <c r="B329" s="71"/>
      <c r="C329" s="71"/>
      <c r="D329" s="72"/>
      <c r="E329" s="12"/>
      <c r="F329" s="107"/>
      <c r="G329" s="11"/>
      <c r="H329" s="13"/>
      <c r="I329" s="14"/>
      <c r="J329" s="13"/>
      <c r="K329" s="10"/>
      <c r="L329" s="10"/>
      <c r="M329" s="7"/>
      <c r="N329" s="10"/>
      <c r="O329" s="1"/>
      <c r="P329" s="21"/>
      <c r="Q329" s="23" t="str">
        <f t="shared" si="10"/>
        <v/>
      </c>
      <c r="R329" s="7"/>
      <c r="S329" s="7"/>
      <c r="W329" s="7" t="str">
        <f t="shared" si="11"/>
        <v/>
      </c>
    </row>
    <row r="330" spans="2:23" customFormat="1">
      <c r="B330" s="71"/>
      <c r="C330" s="71"/>
      <c r="D330" s="72"/>
      <c r="E330" s="12"/>
      <c r="F330" s="107"/>
      <c r="G330" s="11"/>
      <c r="H330" s="13"/>
      <c r="I330" s="14"/>
      <c r="J330" s="13"/>
      <c r="K330" s="10"/>
      <c r="L330" s="10"/>
      <c r="M330" s="7"/>
      <c r="N330" s="10"/>
      <c r="O330" s="1"/>
      <c r="P330" s="21"/>
      <c r="Q330" s="23" t="str">
        <f t="shared" si="10"/>
        <v/>
      </c>
      <c r="R330" s="7"/>
      <c r="S330" s="7"/>
      <c r="W330" s="7" t="str">
        <f t="shared" si="11"/>
        <v/>
      </c>
    </row>
    <row r="331" spans="2:23" customFormat="1">
      <c r="B331" s="71"/>
      <c r="C331" s="71"/>
      <c r="D331" s="72"/>
      <c r="E331" s="12"/>
      <c r="F331" s="107"/>
      <c r="G331" s="11"/>
      <c r="H331" s="13"/>
      <c r="I331" s="14"/>
      <c r="J331" s="13"/>
      <c r="K331" s="10"/>
      <c r="L331" s="10"/>
      <c r="M331" s="7"/>
      <c r="N331" s="10"/>
      <c r="O331" s="1"/>
      <c r="P331" s="21"/>
      <c r="Q331" s="23" t="str">
        <f t="shared" si="10"/>
        <v/>
      </c>
      <c r="R331" s="7"/>
      <c r="S331" s="7"/>
      <c r="W331" s="7" t="str">
        <f t="shared" si="11"/>
        <v/>
      </c>
    </row>
    <row r="332" spans="2:23" customFormat="1">
      <c r="B332" s="71"/>
      <c r="C332" s="71"/>
      <c r="D332" s="72"/>
      <c r="E332" s="12"/>
      <c r="F332" s="107"/>
      <c r="G332" s="11"/>
      <c r="H332" s="13"/>
      <c r="I332" s="14"/>
      <c r="J332" s="13"/>
      <c r="K332" s="10"/>
      <c r="L332" s="10"/>
      <c r="M332" s="7"/>
      <c r="N332" s="10"/>
      <c r="O332" s="1"/>
      <c r="P332" s="21"/>
      <c r="Q332" s="23" t="str">
        <f t="shared" si="10"/>
        <v/>
      </c>
      <c r="R332" s="7"/>
      <c r="S332" s="7"/>
      <c r="W332" s="7" t="str">
        <f t="shared" si="11"/>
        <v/>
      </c>
    </row>
    <row r="333" spans="2:23" customFormat="1">
      <c r="B333" s="71"/>
      <c r="C333" s="71"/>
      <c r="D333" s="72"/>
      <c r="E333" s="12"/>
      <c r="F333" s="107"/>
      <c r="G333" s="11"/>
      <c r="H333" s="13"/>
      <c r="I333" s="14"/>
      <c r="J333" s="13"/>
      <c r="K333" s="10"/>
      <c r="L333" s="10"/>
      <c r="M333" s="7"/>
      <c r="N333" s="10"/>
      <c r="O333" s="1"/>
      <c r="P333" s="21"/>
      <c r="Q333" s="23" t="str">
        <f t="shared" si="10"/>
        <v/>
      </c>
      <c r="R333" s="7"/>
      <c r="S333" s="7"/>
      <c r="W333" s="7" t="str">
        <f t="shared" si="11"/>
        <v/>
      </c>
    </row>
    <row r="334" spans="2:23" customFormat="1">
      <c r="B334" s="71"/>
      <c r="C334" s="71"/>
      <c r="D334" s="72"/>
      <c r="E334" s="12"/>
      <c r="F334" s="107"/>
      <c r="G334" s="11"/>
      <c r="H334" s="13"/>
      <c r="I334" s="14"/>
      <c r="J334" s="13"/>
      <c r="K334" s="10"/>
      <c r="L334" s="10"/>
      <c r="M334" s="7"/>
      <c r="N334" s="10"/>
      <c r="O334" s="1"/>
      <c r="P334" s="21"/>
      <c r="Q334" s="23" t="str">
        <f t="shared" si="10"/>
        <v/>
      </c>
      <c r="R334" s="7"/>
      <c r="S334" s="7"/>
      <c r="W334" s="7" t="str">
        <f t="shared" si="11"/>
        <v/>
      </c>
    </row>
    <row r="335" spans="2:23" customFormat="1">
      <c r="B335" s="71"/>
      <c r="C335" s="71"/>
      <c r="D335" s="72"/>
      <c r="E335" s="12"/>
      <c r="F335" s="107"/>
      <c r="G335" s="11"/>
      <c r="H335" s="13"/>
      <c r="I335" s="14"/>
      <c r="J335" s="13"/>
      <c r="K335" s="10"/>
      <c r="L335" s="10"/>
      <c r="M335" s="7"/>
      <c r="N335" s="10"/>
      <c r="O335" s="1"/>
      <c r="P335" s="21"/>
      <c r="Q335" s="23" t="str">
        <f t="shared" si="10"/>
        <v/>
      </c>
      <c r="R335" s="7"/>
      <c r="S335" s="7"/>
      <c r="W335" s="7" t="str">
        <f t="shared" si="11"/>
        <v/>
      </c>
    </row>
    <row r="336" spans="2:23" customFormat="1">
      <c r="B336" s="71"/>
      <c r="C336" s="71"/>
      <c r="D336" s="72"/>
      <c r="E336" s="12"/>
      <c r="F336" s="107"/>
      <c r="G336" s="11"/>
      <c r="H336" s="13"/>
      <c r="I336" s="14"/>
      <c r="J336" s="13"/>
      <c r="K336" s="10"/>
      <c r="L336" s="10"/>
      <c r="M336" s="7"/>
      <c r="N336" s="10"/>
      <c r="O336" s="1"/>
      <c r="P336" s="21"/>
      <c r="Q336" s="23" t="str">
        <f t="shared" si="10"/>
        <v/>
      </c>
      <c r="R336" s="7"/>
      <c r="S336" s="7"/>
      <c r="W336" s="7" t="str">
        <f t="shared" si="11"/>
        <v/>
      </c>
    </row>
    <row r="337" spans="2:23" customFormat="1">
      <c r="B337" s="71"/>
      <c r="C337" s="71"/>
      <c r="D337" s="72"/>
      <c r="E337" s="12"/>
      <c r="F337" s="107"/>
      <c r="G337" s="11"/>
      <c r="H337" s="13"/>
      <c r="I337" s="14"/>
      <c r="J337" s="13"/>
      <c r="K337" s="10"/>
      <c r="L337" s="10"/>
      <c r="M337" s="7"/>
      <c r="N337" s="10"/>
      <c r="O337" s="1"/>
      <c r="P337" s="21"/>
      <c r="Q337" s="23" t="str">
        <f t="shared" si="10"/>
        <v/>
      </c>
      <c r="R337" s="7"/>
      <c r="S337" s="7"/>
      <c r="W337" s="7" t="str">
        <f t="shared" si="11"/>
        <v/>
      </c>
    </row>
    <row r="338" spans="2:23" customFormat="1">
      <c r="B338" s="71"/>
      <c r="C338" s="71"/>
      <c r="D338" s="72"/>
      <c r="E338" s="12"/>
      <c r="F338" s="107"/>
      <c r="G338" s="11"/>
      <c r="H338" s="13"/>
      <c r="I338" s="14"/>
      <c r="J338" s="13"/>
      <c r="K338" s="10"/>
      <c r="L338" s="10"/>
      <c r="M338" s="7"/>
      <c r="N338" s="10"/>
      <c r="O338" s="1"/>
      <c r="P338" s="21"/>
      <c r="Q338" s="23" t="str">
        <f t="shared" si="10"/>
        <v/>
      </c>
      <c r="R338" s="7"/>
      <c r="S338" s="7"/>
      <c r="W338" s="7" t="str">
        <f t="shared" si="11"/>
        <v/>
      </c>
    </row>
    <row r="339" spans="2:23" customFormat="1">
      <c r="B339" s="71"/>
      <c r="C339" s="71"/>
      <c r="D339" s="72"/>
      <c r="E339" s="12"/>
      <c r="F339" s="107"/>
      <c r="G339" s="11"/>
      <c r="H339" s="13"/>
      <c r="I339" s="14"/>
      <c r="J339" s="13"/>
      <c r="K339" s="10"/>
      <c r="L339" s="10"/>
      <c r="M339" s="7"/>
      <c r="N339" s="10"/>
      <c r="O339" s="1"/>
      <c r="P339" s="21"/>
      <c r="Q339" s="23" t="str">
        <f t="shared" si="10"/>
        <v/>
      </c>
      <c r="R339" s="7"/>
      <c r="S339" s="7"/>
      <c r="W339" s="7" t="str">
        <f t="shared" si="11"/>
        <v/>
      </c>
    </row>
    <row r="340" spans="2:23" customFormat="1">
      <c r="B340" s="71"/>
      <c r="C340" s="71"/>
      <c r="D340" s="72"/>
      <c r="E340" s="12"/>
      <c r="F340" s="107"/>
      <c r="G340" s="11"/>
      <c r="H340" s="13"/>
      <c r="I340" s="14"/>
      <c r="J340" s="13"/>
      <c r="K340" s="10"/>
      <c r="L340" s="10"/>
      <c r="M340" s="7"/>
      <c r="N340" s="10"/>
      <c r="O340" s="1"/>
      <c r="P340" s="21"/>
      <c r="Q340" s="23" t="str">
        <f t="shared" si="10"/>
        <v/>
      </c>
      <c r="R340" s="7"/>
      <c r="S340" s="7"/>
      <c r="W340" s="7" t="str">
        <f t="shared" si="11"/>
        <v/>
      </c>
    </row>
    <row r="341" spans="2:23" customFormat="1">
      <c r="B341" s="71"/>
      <c r="C341" s="71"/>
      <c r="D341" s="72"/>
      <c r="E341" s="12"/>
      <c r="F341" s="107"/>
      <c r="G341" s="11"/>
      <c r="H341" s="13"/>
      <c r="I341" s="14"/>
      <c r="J341" s="13"/>
      <c r="K341" s="10"/>
      <c r="L341" s="10"/>
      <c r="M341" s="7"/>
      <c r="N341" s="10"/>
      <c r="O341" s="1"/>
      <c r="P341" s="21"/>
      <c r="Q341" s="23" t="str">
        <f t="shared" si="10"/>
        <v/>
      </c>
      <c r="R341" s="7"/>
      <c r="S341" s="7"/>
      <c r="W341" s="7" t="str">
        <f t="shared" si="11"/>
        <v/>
      </c>
    </row>
    <row r="342" spans="2:23" customFormat="1">
      <c r="B342" s="71"/>
      <c r="C342" s="71"/>
      <c r="D342" s="72"/>
      <c r="E342" s="12"/>
      <c r="F342" s="107"/>
      <c r="G342" s="11"/>
      <c r="H342" s="13"/>
      <c r="I342" s="14"/>
      <c r="J342" s="13"/>
      <c r="K342" s="10"/>
      <c r="L342" s="10"/>
      <c r="M342" s="7"/>
      <c r="N342" s="10"/>
      <c r="O342" s="1"/>
      <c r="P342" s="21"/>
      <c r="Q342" s="23" t="str">
        <f t="shared" si="10"/>
        <v/>
      </c>
      <c r="R342" s="7"/>
      <c r="S342" s="7"/>
      <c r="W342" s="7" t="str">
        <f t="shared" si="11"/>
        <v/>
      </c>
    </row>
    <row r="343" spans="2:23" customFormat="1">
      <c r="B343" s="71"/>
      <c r="C343" s="71"/>
      <c r="D343" s="72"/>
      <c r="E343" s="12"/>
      <c r="F343" s="107"/>
      <c r="G343" s="11"/>
      <c r="H343" s="13"/>
      <c r="I343" s="14"/>
      <c r="J343" s="13"/>
      <c r="K343" s="10"/>
      <c r="L343" s="10"/>
      <c r="M343" s="7"/>
      <c r="N343" s="10"/>
      <c r="O343" s="1"/>
      <c r="P343" s="21"/>
      <c r="Q343" s="23" t="str">
        <f t="shared" ref="Q343:Q406" si="12">IF(P343="Exemplary", "None; meets or exceeds all minimum requirements.",IF(P343="Strong", "Minor gaps in execution or periodic review; improvement needed.",IF(P343="Developing", "Partial compliance; gaps in documentation, roles, or execution.",IF(P343="Emerging", "Informal or incomplete implementation; missing formal documents or procedures.",IF(P343="Critical", "Control not initiated; no documentation or designation.","")))))</f>
        <v/>
      </c>
      <c r="R343" s="7"/>
      <c r="S343" s="7"/>
      <c r="W343" s="7" t="str">
        <f t="shared" si="11"/>
        <v/>
      </c>
    </row>
    <row r="344" spans="2:23" customFormat="1">
      <c r="B344" s="71"/>
      <c r="C344" s="71"/>
      <c r="D344" s="72"/>
      <c r="E344" s="12"/>
      <c r="F344" s="107"/>
      <c r="G344" s="11"/>
      <c r="H344" s="13"/>
      <c r="I344" s="14"/>
      <c r="J344" s="13"/>
      <c r="K344" s="10"/>
      <c r="L344" s="10"/>
      <c r="M344" s="7"/>
      <c r="N344" s="10"/>
      <c r="O344" s="1"/>
      <c r="P344" s="21"/>
      <c r="Q344" s="23" t="str">
        <f t="shared" si="12"/>
        <v/>
      </c>
      <c r="R344" s="7"/>
      <c r="S344" s="7"/>
      <c r="W344" s="7" t="str">
        <f t="shared" ref="W344:W407" si="13">IFERROR(VALUE(MID(P344,7,1)),"")</f>
        <v/>
      </c>
    </row>
    <row r="345" spans="2:23" customFormat="1">
      <c r="B345" s="71"/>
      <c r="C345" s="71"/>
      <c r="D345" s="72"/>
      <c r="E345" s="12"/>
      <c r="F345" s="107"/>
      <c r="G345" s="11"/>
      <c r="H345" s="13"/>
      <c r="I345" s="14"/>
      <c r="J345" s="13"/>
      <c r="K345" s="10"/>
      <c r="L345" s="10"/>
      <c r="M345" s="7"/>
      <c r="N345" s="10"/>
      <c r="O345" s="1"/>
      <c r="P345" s="21"/>
      <c r="Q345" s="23" t="str">
        <f t="shared" si="12"/>
        <v/>
      </c>
      <c r="R345" s="7"/>
      <c r="S345" s="7"/>
      <c r="W345" s="7" t="str">
        <f t="shared" si="13"/>
        <v/>
      </c>
    </row>
    <row r="346" spans="2:23" customFormat="1">
      <c r="B346" s="71"/>
      <c r="C346" s="71"/>
      <c r="D346" s="72"/>
      <c r="E346" s="12"/>
      <c r="F346" s="107"/>
      <c r="G346" s="11"/>
      <c r="H346" s="13"/>
      <c r="I346" s="14"/>
      <c r="J346" s="13"/>
      <c r="K346" s="10"/>
      <c r="L346" s="10"/>
      <c r="M346" s="7"/>
      <c r="N346" s="10"/>
      <c r="O346" s="1"/>
      <c r="P346" s="21"/>
      <c r="Q346" s="23" t="str">
        <f t="shared" si="12"/>
        <v/>
      </c>
      <c r="R346" s="7"/>
      <c r="S346" s="7"/>
      <c r="W346" s="7" t="str">
        <f t="shared" si="13"/>
        <v/>
      </c>
    </row>
    <row r="347" spans="2:23" customFormat="1">
      <c r="B347" s="71"/>
      <c r="C347" s="71"/>
      <c r="D347" s="72"/>
      <c r="E347" s="12"/>
      <c r="F347" s="107"/>
      <c r="G347" s="11"/>
      <c r="H347" s="13"/>
      <c r="I347" s="14"/>
      <c r="J347" s="13"/>
      <c r="K347" s="10"/>
      <c r="L347" s="10"/>
      <c r="M347" s="7"/>
      <c r="N347" s="10"/>
      <c r="O347" s="1"/>
      <c r="P347" s="21"/>
      <c r="Q347" s="23" t="str">
        <f t="shared" si="12"/>
        <v/>
      </c>
      <c r="R347" s="7"/>
      <c r="S347" s="7"/>
      <c r="W347" s="7" t="str">
        <f t="shared" si="13"/>
        <v/>
      </c>
    </row>
    <row r="348" spans="2:23" customFormat="1">
      <c r="B348" s="71"/>
      <c r="C348" s="71"/>
      <c r="D348" s="72"/>
      <c r="E348" s="12"/>
      <c r="F348" s="107"/>
      <c r="G348" s="11"/>
      <c r="H348" s="13"/>
      <c r="I348" s="14"/>
      <c r="J348" s="13"/>
      <c r="K348" s="10"/>
      <c r="L348" s="10"/>
      <c r="M348" s="7"/>
      <c r="N348" s="10"/>
      <c r="O348" s="1"/>
      <c r="P348" s="21"/>
      <c r="Q348" s="23" t="str">
        <f t="shared" si="12"/>
        <v/>
      </c>
      <c r="R348" s="7"/>
      <c r="S348" s="7"/>
      <c r="W348" s="7" t="str">
        <f t="shared" si="13"/>
        <v/>
      </c>
    </row>
    <row r="349" spans="2:23" customFormat="1">
      <c r="B349" s="71"/>
      <c r="C349" s="71"/>
      <c r="D349" s="72"/>
      <c r="E349" s="12"/>
      <c r="F349" s="107"/>
      <c r="G349" s="11"/>
      <c r="H349" s="13"/>
      <c r="I349" s="14"/>
      <c r="J349" s="13"/>
      <c r="K349" s="10"/>
      <c r="L349" s="10"/>
      <c r="M349" s="7"/>
      <c r="N349" s="10"/>
      <c r="O349" s="1"/>
      <c r="P349" s="21"/>
      <c r="Q349" s="23" t="str">
        <f t="shared" si="12"/>
        <v/>
      </c>
      <c r="R349" s="7"/>
      <c r="S349" s="7"/>
      <c r="W349" s="7" t="str">
        <f t="shared" si="13"/>
        <v/>
      </c>
    </row>
    <row r="350" spans="2:23" customFormat="1">
      <c r="B350" s="71"/>
      <c r="C350" s="71"/>
      <c r="D350" s="72"/>
      <c r="E350" s="12"/>
      <c r="F350" s="107"/>
      <c r="G350" s="11"/>
      <c r="H350" s="13"/>
      <c r="I350" s="14"/>
      <c r="J350" s="13"/>
      <c r="K350" s="10"/>
      <c r="L350" s="10"/>
      <c r="M350" s="7"/>
      <c r="N350" s="10"/>
      <c r="O350" s="1"/>
      <c r="P350" s="21"/>
      <c r="Q350" s="23" t="str">
        <f t="shared" si="12"/>
        <v/>
      </c>
      <c r="R350" s="7"/>
      <c r="S350" s="7"/>
      <c r="W350" s="7" t="str">
        <f t="shared" si="13"/>
        <v/>
      </c>
    </row>
    <row r="351" spans="2:23" customFormat="1">
      <c r="B351" s="71"/>
      <c r="C351" s="71"/>
      <c r="D351" s="72"/>
      <c r="E351" s="12"/>
      <c r="F351" s="107"/>
      <c r="G351" s="11"/>
      <c r="H351" s="13"/>
      <c r="I351" s="14"/>
      <c r="J351" s="13"/>
      <c r="K351" s="10"/>
      <c r="L351" s="10"/>
      <c r="M351" s="7"/>
      <c r="N351" s="10"/>
      <c r="O351" s="1"/>
      <c r="P351" s="21"/>
      <c r="Q351" s="23" t="str">
        <f t="shared" si="12"/>
        <v/>
      </c>
      <c r="R351" s="7"/>
      <c r="S351" s="7"/>
      <c r="W351" s="7" t="str">
        <f t="shared" si="13"/>
        <v/>
      </c>
    </row>
    <row r="352" spans="2:23" customFormat="1">
      <c r="B352" s="71"/>
      <c r="C352" s="71"/>
      <c r="D352" s="72"/>
      <c r="E352" s="12"/>
      <c r="F352" s="107"/>
      <c r="G352" s="11"/>
      <c r="H352" s="13"/>
      <c r="I352" s="14"/>
      <c r="J352" s="13"/>
      <c r="K352" s="10"/>
      <c r="L352" s="10"/>
      <c r="M352" s="7"/>
      <c r="N352" s="10"/>
      <c r="O352" s="1"/>
      <c r="P352" s="21"/>
      <c r="Q352" s="23" t="str">
        <f t="shared" si="12"/>
        <v/>
      </c>
      <c r="R352" s="7"/>
      <c r="S352" s="7"/>
      <c r="W352" s="7" t="str">
        <f t="shared" si="13"/>
        <v/>
      </c>
    </row>
    <row r="353" spans="2:23" customFormat="1">
      <c r="B353" s="71"/>
      <c r="C353" s="71"/>
      <c r="D353" s="72"/>
      <c r="E353" s="12"/>
      <c r="F353" s="107"/>
      <c r="G353" s="11"/>
      <c r="H353" s="13"/>
      <c r="I353" s="14"/>
      <c r="J353" s="13"/>
      <c r="K353" s="10"/>
      <c r="L353" s="10"/>
      <c r="M353" s="7"/>
      <c r="N353" s="10"/>
      <c r="O353" s="1"/>
      <c r="P353" s="21"/>
      <c r="Q353" s="23" t="str">
        <f t="shared" si="12"/>
        <v/>
      </c>
      <c r="R353" s="7"/>
      <c r="S353" s="7"/>
      <c r="W353" s="7" t="str">
        <f t="shared" si="13"/>
        <v/>
      </c>
    </row>
    <row r="354" spans="2:23" customFormat="1">
      <c r="B354" s="71"/>
      <c r="C354" s="71"/>
      <c r="D354" s="72"/>
      <c r="E354" s="12"/>
      <c r="F354" s="107"/>
      <c r="G354" s="11"/>
      <c r="H354" s="13"/>
      <c r="I354" s="14"/>
      <c r="J354" s="13"/>
      <c r="K354" s="10"/>
      <c r="L354" s="10"/>
      <c r="M354" s="7"/>
      <c r="N354" s="10"/>
      <c r="O354" s="1"/>
      <c r="P354" s="21"/>
      <c r="Q354" s="23" t="str">
        <f t="shared" si="12"/>
        <v/>
      </c>
      <c r="R354" s="7"/>
      <c r="S354" s="7"/>
      <c r="W354" s="7" t="str">
        <f t="shared" si="13"/>
        <v/>
      </c>
    </row>
    <row r="355" spans="2:23" customFormat="1">
      <c r="B355" s="71"/>
      <c r="C355" s="71"/>
      <c r="D355" s="72"/>
      <c r="E355" s="12"/>
      <c r="F355" s="107"/>
      <c r="G355" s="11"/>
      <c r="H355" s="13"/>
      <c r="I355" s="14"/>
      <c r="J355" s="13"/>
      <c r="K355" s="10"/>
      <c r="L355" s="10"/>
      <c r="M355" s="7"/>
      <c r="N355" s="10"/>
      <c r="O355" s="1"/>
      <c r="P355" s="21"/>
      <c r="Q355" s="23" t="str">
        <f t="shared" si="12"/>
        <v/>
      </c>
      <c r="R355" s="7"/>
      <c r="S355" s="7"/>
      <c r="W355" s="7" t="str">
        <f t="shared" si="13"/>
        <v/>
      </c>
    </row>
    <row r="356" spans="2:23" customFormat="1">
      <c r="B356" s="71"/>
      <c r="C356" s="71"/>
      <c r="D356" s="72"/>
      <c r="E356" s="12"/>
      <c r="F356" s="107"/>
      <c r="G356" s="11"/>
      <c r="H356" s="13"/>
      <c r="I356" s="14"/>
      <c r="J356" s="13"/>
      <c r="K356" s="10"/>
      <c r="L356" s="10"/>
      <c r="M356" s="7"/>
      <c r="N356" s="10"/>
      <c r="O356" s="1"/>
      <c r="P356" s="21"/>
      <c r="Q356" s="23" t="str">
        <f t="shared" si="12"/>
        <v/>
      </c>
      <c r="R356" s="7"/>
      <c r="S356" s="7"/>
      <c r="W356" s="7" t="str">
        <f t="shared" si="13"/>
        <v/>
      </c>
    </row>
    <row r="357" spans="2:23" customFormat="1">
      <c r="B357" s="71"/>
      <c r="C357" s="71"/>
      <c r="D357" s="72"/>
      <c r="E357" s="12"/>
      <c r="F357" s="107"/>
      <c r="G357" s="11"/>
      <c r="H357" s="13"/>
      <c r="I357" s="14"/>
      <c r="J357" s="13"/>
      <c r="K357" s="10"/>
      <c r="L357" s="10"/>
      <c r="M357" s="7"/>
      <c r="N357" s="10"/>
      <c r="O357" s="1"/>
      <c r="P357" s="21"/>
      <c r="Q357" s="23" t="str">
        <f t="shared" si="12"/>
        <v/>
      </c>
      <c r="R357" s="7"/>
      <c r="S357" s="7"/>
      <c r="W357" s="7" t="str">
        <f t="shared" si="13"/>
        <v/>
      </c>
    </row>
    <row r="358" spans="2:23" customFormat="1">
      <c r="B358" s="71"/>
      <c r="C358" s="71"/>
      <c r="D358" s="72"/>
      <c r="E358" s="12"/>
      <c r="F358" s="107"/>
      <c r="G358" s="11"/>
      <c r="H358" s="13"/>
      <c r="I358" s="14"/>
      <c r="J358" s="13"/>
      <c r="K358" s="10"/>
      <c r="L358" s="10"/>
      <c r="M358" s="7"/>
      <c r="N358" s="10"/>
      <c r="O358" s="1"/>
      <c r="P358" s="21"/>
      <c r="Q358" s="23" t="str">
        <f t="shared" si="12"/>
        <v/>
      </c>
      <c r="R358" s="7"/>
      <c r="S358" s="7"/>
      <c r="W358" s="7" t="str">
        <f t="shared" si="13"/>
        <v/>
      </c>
    </row>
    <row r="359" spans="2:23" customFormat="1">
      <c r="B359" s="71"/>
      <c r="C359" s="71"/>
      <c r="D359" s="72"/>
      <c r="E359" s="12"/>
      <c r="F359" s="107"/>
      <c r="G359" s="11"/>
      <c r="H359" s="13"/>
      <c r="I359" s="14"/>
      <c r="J359" s="13"/>
      <c r="K359" s="10"/>
      <c r="L359" s="10"/>
      <c r="M359" s="7"/>
      <c r="N359" s="10"/>
      <c r="O359" s="1"/>
      <c r="P359" s="21"/>
      <c r="Q359" s="23" t="str">
        <f t="shared" si="12"/>
        <v/>
      </c>
      <c r="R359" s="7"/>
      <c r="S359" s="7"/>
      <c r="W359" s="7" t="str">
        <f t="shared" si="13"/>
        <v/>
      </c>
    </row>
    <row r="360" spans="2:23" customFormat="1">
      <c r="B360" s="71"/>
      <c r="C360" s="71"/>
      <c r="D360" s="72"/>
      <c r="E360" s="12"/>
      <c r="F360" s="107"/>
      <c r="G360" s="11"/>
      <c r="H360" s="13"/>
      <c r="I360" s="14"/>
      <c r="J360" s="13"/>
      <c r="K360" s="10"/>
      <c r="L360" s="10"/>
      <c r="M360" s="7"/>
      <c r="N360" s="10"/>
      <c r="O360" s="1"/>
      <c r="P360" s="21"/>
      <c r="Q360" s="23" t="str">
        <f t="shared" si="12"/>
        <v/>
      </c>
      <c r="R360" s="7"/>
      <c r="S360" s="7"/>
      <c r="W360" s="7" t="str">
        <f t="shared" si="13"/>
        <v/>
      </c>
    </row>
    <row r="361" spans="2:23" customFormat="1">
      <c r="B361" s="71"/>
      <c r="C361" s="71"/>
      <c r="D361" s="72"/>
      <c r="E361" s="12"/>
      <c r="F361" s="107"/>
      <c r="G361" s="11"/>
      <c r="H361" s="13"/>
      <c r="I361" s="14"/>
      <c r="J361" s="13"/>
      <c r="K361" s="10"/>
      <c r="L361" s="10"/>
      <c r="M361" s="7"/>
      <c r="N361" s="10"/>
      <c r="O361" s="1"/>
      <c r="P361" s="21"/>
      <c r="Q361" s="23" t="str">
        <f t="shared" si="12"/>
        <v/>
      </c>
      <c r="R361" s="7"/>
      <c r="S361" s="7"/>
      <c r="W361" s="7" t="str">
        <f t="shared" si="13"/>
        <v/>
      </c>
    </row>
    <row r="362" spans="2:23" customFormat="1">
      <c r="B362" s="71"/>
      <c r="C362" s="71"/>
      <c r="D362" s="72"/>
      <c r="E362" s="12"/>
      <c r="F362" s="107"/>
      <c r="G362" s="11"/>
      <c r="H362" s="13"/>
      <c r="I362" s="14"/>
      <c r="J362" s="13"/>
      <c r="K362" s="10"/>
      <c r="L362" s="10"/>
      <c r="M362" s="7"/>
      <c r="N362" s="10"/>
      <c r="O362" s="1"/>
      <c r="P362" s="21"/>
      <c r="Q362" s="23" t="str">
        <f t="shared" si="12"/>
        <v/>
      </c>
      <c r="R362" s="7"/>
      <c r="S362" s="7"/>
      <c r="W362" s="7" t="str">
        <f t="shared" si="13"/>
        <v/>
      </c>
    </row>
    <row r="363" spans="2:23" customFormat="1">
      <c r="B363" s="71"/>
      <c r="C363" s="71"/>
      <c r="D363" s="72"/>
      <c r="E363" s="12"/>
      <c r="F363" s="107"/>
      <c r="G363" s="11"/>
      <c r="H363" s="13"/>
      <c r="I363" s="14"/>
      <c r="J363" s="13"/>
      <c r="K363" s="10"/>
      <c r="L363" s="10"/>
      <c r="M363" s="7"/>
      <c r="N363" s="10"/>
      <c r="O363" s="1"/>
      <c r="P363" s="21"/>
      <c r="Q363" s="23" t="str">
        <f t="shared" si="12"/>
        <v/>
      </c>
      <c r="R363" s="7"/>
      <c r="S363" s="7"/>
      <c r="W363" s="7" t="str">
        <f t="shared" si="13"/>
        <v/>
      </c>
    </row>
    <row r="364" spans="2:23" customFormat="1">
      <c r="B364" s="71"/>
      <c r="C364" s="71"/>
      <c r="D364" s="72"/>
      <c r="E364" s="12"/>
      <c r="F364" s="107"/>
      <c r="G364" s="11"/>
      <c r="H364" s="13"/>
      <c r="I364" s="14"/>
      <c r="J364" s="13"/>
      <c r="K364" s="10"/>
      <c r="L364" s="10"/>
      <c r="M364" s="7"/>
      <c r="N364" s="10"/>
      <c r="O364" s="1"/>
      <c r="P364" s="21"/>
      <c r="Q364" s="23" t="str">
        <f t="shared" si="12"/>
        <v/>
      </c>
      <c r="R364" s="7"/>
      <c r="S364" s="7"/>
      <c r="W364" s="7" t="str">
        <f t="shared" si="13"/>
        <v/>
      </c>
    </row>
    <row r="365" spans="2:23" customFormat="1">
      <c r="B365" s="71"/>
      <c r="C365" s="71"/>
      <c r="D365" s="72"/>
      <c r="E365" s="12"/>
      <c r="F365" s="107"/>
      <c r="G365" s="11"/>
      <c r="H365" s="13"/>
      <c r="I365" s="14"/>
      <c r="J365" s="13"/>
      <c r="K365" s="10"/>
      <c r="L365" s="10"/>
      <c r="M365" s="7"/>
      <c r="N365" s="10"/>
      <c r="O365" s="1"/>
      <c r="P365" s="21"/>
      <c r="Q365" s="23" t="str">
        <f t="shared" si="12"/>
        <v/>
      </c>
      <c r="R365" s="7"/>
      <c r="S365" s="7"/>
      <c r="W365" s="7" t="str">
        <f t="shared" si="13"/>
        <v/>
      </c>
    </row>
    <row r="366" spans="2:23" customFormat="1">
      <c r="B366" s="71"/>
      <c r="C366" s="71"/>
      <c r="D366" s="72"/>
      <c r="E366" s="12"/>
      <c r="F366" s="107"/>
      <c r="G366" s="11"/>
      <c r="H366" s="13"/>
      <c r="I366" s="14"/>
      <c r="J366" s="13"/>
      <c r="K366" s="10"/>
      <c r="L366" s="10"/>
      <c r="M366" s="7"/>
      <c r="N366" s="10"/>
      <c r="O366" s="1"/>
      <c r="P366" s="21"/>
      <c r="Q366" s="23" t="str">
        <f t="shared" si="12"/>
        <v/>
      </c>
      <c r="R366" s="7"/>
      <c r="S366" s="7"/>
      <c r="W366" s="7" t="str">
        <f t="shared" si="13"/>
        <v/>
      </c>
    </row>
    <row r="367" spans="2:23" customFormat="1">
      <c r="B367" s="71"/>
      <c r="C367" s="71"/>
      <c r="D367" s="72"/>
      <c r="E367" s="12"/>
      <c r="F367" s="107"/>
      <c r="G367" s="11"/>
      <c r="H367" s="13"/>
      <c r="I367" s="14"/>
      <c r="J367" s="13"/>
      <c r="K367" s="10"/>
      <c r="L367" s="10"/>
      <c r="M367" s="7"/>
      <c r="N367" s="10"/>
      <c r="O367" s="1"/>
      <c r="P367" s="21"/>
      <c r="Q367" s="23" t="str">
        <f t="shared" si="12"/>
        <v/>
      </c>
      <c r="R367" s="7"/>
      <c r="S367" s="7"/>
      <c r="W367" s="7" t="str">
        <f t="shared" si="13"/>
        <v/>
      </c>
    </row>
    <row r="368" spans="2:23" customFormat="1">
      <c r="B368" s="71"/>
      <c r="C368" s="71"/>
      <c r="D368" s="72"/>
      <c r="E368" s="12"/>
      <c r="F368" s="107"/>
      <c r="G368" s="11"/>
      <c r="H368" s="13"/>
      <c r="I368" s="14"/>
      <c r="J368" s="13"/>
      <c r="K368" s="10"/>
      <c r="L368" s="10"/>
      <c r="M368" s="7"/>
      <c r="N368" s="10"/>
      <c r="O368" s="1"/>
      <c r="P368" s="21"/>
      <c r="Q368" s="23" t="str">
        <f t="shared" si="12"/>
        <v/>
      </c>
      <c r="R368" s="7"/>
      <c r="S368" s="7"/>
      <c r="W368" s="7" t="str">
        <f t="shared" si="13"/>
        <v/>
      </c>
    </row>
    <row r="369" spans="2:23" customFormat="1">
      <c r="B369" s="71"/>
      <c r="C369" s="71"/>
      <c r="D369" s="72"/>
      <c r="E369" s="12"/>
      <c r="F369" s="107"/>
      <c r="G369" s="11"/>
      <c r="H369" s="13"/>
      <c r="I369" s="14"/>
      <c r="J369" s="13"/>
      <c r="K369" s="10"/>
      <c r="L369" s="10"/>
      <c r="M369" s="7"/>
      <c r="N369" s="10"/>
      <c r="O369" s="1"/>
      <c r="P369" s="21"/>
      <c r="Q369" s="23" t="str">
        <f t="shared" si="12"/>
        <v/>
      </c>
      <c r="R369" s="7"/>
      <c r="S369" s="7"/>
      <c r="W369" s="7" t="str">
        <f t="shared" si="13"/>
        <v/>
      </c>
    </row>
    <row r="370" spans="2:23" customFormat="1">
      <c r="B370" s="71"/>
      <c r="C370" s="71"/>
      <c r="D370" s="72"/>
      <c r="E370" s="12"/>
      <c r="F370" s="107"/>
      <c r="G370" s="11"/>
      <c r="H370" s="13"/>
      <c r="I370" s="14"/>
      <c r="J370" s="13"/>
      <c r="K370" s="10"/>
      <c r="L370" s="10"/>
      <c r="M370" s="7"/>
      <c r="N370" s="10"/>
      <c r="O370" s="1"/>
      <c r="P370" s="21"/>
      <c r="Q370" s="23" t="str">
        <f t="shared" si="12"/>
        <v/>
      </c>
      <c r="R370" s="7"/>
      <c r="S370" s="7"/>
      <c r="W370" s="7" t="str">
        <f t="shared" si="13"/>
        <v/>
      </c>
    </row>
    <row r="371" spans="2:23" customFormat="1">
      <c r="B371" s="71"/>
      <c r="C371" s="71"/>
      <c r="D371" s="72"/>
      <c r="E371" s="12"/>
      <c r="F371" s="107"/>
      <c r="G371" s="11"/>
      <c r="H371" s="13"/>
      <c r="I371" s="14"/>
      <c r="J371" s="13"/>
      <c r="K371" s="10"/>
      <c r="L371" s="10"/>
      <c r="M371" s="7"/>
      <c r="N371" s="10"/>
      <c r="O371" s="1"/>
      <c r="P371" s="21"/>
      <c r="Q371" s="23" t="str">
        <f t="shared" si="12"/>
        <v/>
      </c>
      <c r="R371" s="7"/>
      <c r="S371" s="7"/>
      <c r="W371" s="7" t="str">
        <f t="shared" si="13"/>
        <v/>
      </c>
    </row>
    <row r="372" spans="2:23" customFormat="1">
      <c r="B372" s="71"/>
      <c r="C372" s="71"/>
      <c r="D372" s="72"/>
      <c r="E372" s="12"/>
      <c r="F372" s="107"/>
      <c r="G372" s="11"/>
      <c r="H372" s="13"/>
      <c r="I372" s="14"/>
      <c r="J372" s="13"/>
      <c r="K372" s="10"/>
      <c r="L372" s="10"/>
      <c r="M372" s="7"/>
      <c r="N372" s="10"/>
      <c r="O372" s="1"/>
      <c r="P372" s="21"/>
      <c r="Q372" s="23" t="str">
        <f t="shared" si="12"/>
        <v/>
      </c>
      <c r="R372" s="7"/>
      <c r="S372" s="7"/>
      <c r="W372" s="7" t="str">
        <f t="shared" si="13"/>
        <v/>
      </c>
    </row>
    <row r="373" spans="2:23" customFormat="1">
      <c r="B373" s="71"/>
      <c r="C373" s="71"/>
      <c r="D373" s="72"/>
      <c r="E373" s="12"/>
      <c r="F373" s="107"/>
      <c r="G373" s="11"/>
      <c r="H373" s="13"/>
      <c r="I373" s="14"/>
      <c r="J373" s="13"/>
      <c r="K373" s="10"/>
      <c r="L373" s="10"/>
      <c r="M373" s="7"/>
      <c r="N373" s="10"/>
      <c r="O373" s="1"/>
      <c r="P373" s="21"/>
      <c r="Q373" s="23" t="str">
        <f t="shared" si="12"/>
        <v/>
      </c>
      <c r="R373" s="7"/>
      <c r="S373" s="7"/>
      <c r="W373" s="7" t="str">
        <f t="shared" si="13"/>
        <v/>
      </c>
    </row>
    <row r="374" spans="2:23" customFormat="1">
      <c r="B374" s="71"/>
      <c r="C374" s="71"/>
      <c r="D374" s="72"/>
      <c r="E374" s="12"/>
      <c r="F374" s="107"/>
      <c r="G374" s="11"/>
      <c r="H374" s="13"/>
      <c r="I374" s="14"/>
      <c r="J374" s="13"/>
      <c r="K374" s="10"/>
      <c r="L374" s="10"/>
      <c r="M374" s="7"/>
      <c r="N374" s="10"/>
      <c r="O374" s="1"/>
      <c r="P374" s="21"/>
      <c r="Q374" s="23" t="str">
        <f t="shared" si="12"/>
        <v/>
      </c>
      <c r="R374" s="7"/>
      <c r="S374" s="7"/>
      <c r="W374" s="7" t="str">
        <f t="shared" si="13"/>
        <v/>
      </c>
    </row>
    <row r="375" spans="2:23" customFormat="1">
      <c r="B375" s="71"/>
      <c r="C375" s="71"/>
      <c r="D375" s="72"/>
      <c r="E375" s="12"/>
      <c r="F375" s="107"/>
      <c r="G375" s="11"/>
      <c r="H375" s="13"/>
      <c r="I375" s="14"/>
      <c r="J375" s="13"/>
      <c r="K375" s="10"/>
      <c r="L375" s="10"/>
      <c r="M375" s="7"/>
      <c r="N375" s="10"/>
      <c r="O375" s="1"/>
      <c r="P375" s="21"/>
      <c r="Q375" s="23" t="str">
        <f t="shared" si="12"/>
        <v/>
      </c>
      <c r="R375" s="7"/>
      <c r="S375" s="7"/>
      <c r="W375" s="7" t="str">
        <f t="shared" si="13"/>
        <v/>
      </c>
    </row>
    <row r="376" spans="2:23" customFormat="1">
      <c r="B376" s="71"/>
      <c r="C376" s="71"/>
      <c r="D376" s="72"/>
      <c r="E376" s="12"/>
      <c r="F376" s="107"/>
      <c r="G376" s="11"/>
      <c r="H376" s="13"/>
      <c r="I376" s="14"/>
      <c r="J376" s="13"/>
      <c r="K376" s="10"/>
      <c r="L376" s="10"/>
      <c r="M376" s="7"/>
      <c r="N376" s="10"/>
      <c r="O376" s="1"/>
      <c r="P376" s="21"/>
      <c r="Q376" s="23" t="str">
        <f t="shared" si="12"/>
        <v/>
      </c>
      <c r="R376" s="7"/>
      <c r="S376" s="7"/>
      <c r="W376" s="7" t="str">
        <f t="shared" si="13"/>
        <v/>
      </c>
    </row>
    <row r="377" spans="2:23" customFormat="1">
      <c r="B377" s="71"/>
      <c r="C377" s="71"/>
      <c r="D377" s="72"/>
      <c r="E377" s="12"/>
      <c r="F377" s="107"/>
      <c r="G377" s="11"/>
      <c r="H377" s="13"/>
      <c r="I377" s="14"/>
      <c r="J377" s="13"/>
      <c r="K377" s="10"/>
      <c r="L377" s="10"/>
      <c r="M377" s="7"/>
      <c r="N377" s="10"/>
      <c r="O377" s="1"/>
      <c r="P377" s="21"/>
      <c r="Q377" s="23" t="str">
        <f t="shared" si="12"/>
        <v/>
      </c>
      <c r="R377" s="7"/>
      <c r="S377" s="7"/>
      <c r="W377" s="7" t="str">
        <f t="shared" si="13"/>
        <v/>
      </c>
    </row>
    <row r="378" spans="2:23" customFormat="1">
      <c r="B378" s="71"/>
      <c r="C378" s="71"/>
      <c r="D378" s="72"/>
      <c r="E378" s="12"/>
      <c r="F378" s="107"/>
      <c r="G378" s="11"/>
      <c r="H378" s="13"/>
      <c r="I378" s="14"/>
      <c r="J378" s="13"/>
      <c r="K378" s="10"/>
      <c r="L378" s="10"/>
      <c r="M378" s="7"/>
      <c r="N378" s="10"/>
      <c r="O378" s="1"/>
      <c r="P378" s="21"/>
      <c r="Q378" s="23" t="str">
        <f t="shared" si="12"/>
        <v/>
      </c>
      <c r="R378" s="7"/>
      <c r="S378" s="7"/>
      <c r="W378" s="7" t="str">
        <f t="shared" si="13"/>
        <v/>
      </c>
    </row>
    <row r="379" spans="2:23" customFormat="1">
      <c r="B379" s="71"/>
      <c r="C379" s="71"/>
      <c r="D379" s="72"/>
      <c r="E379" s="12"/>
      <c r="F379" s="107"/>
      <c r="G379" s="11"/>
      <c r="H379" s="13"/>
      <c r="I379" s="14"/>
      <c r="J379" s="13"/>
      <c r="K379" s="10"/>
      <c r="L379" s="10"/>
      <c r="M379" s="7"/>
      <c r="N379" s="10"/>
      <c r="O379" s="1"/>
      <c r="P379" s="21"/>
      <c r="Q379" s="23" t="str">
        <f t="shared" si="12"/>
        <v/>
      </c>
      <c r="R379" s="7"/>
      <c r="S379" s="7"/>
      <c r="W379" s="7" t="str">
        <f t="shared" si="13"/>
        <v/>
      </c>
    </row>
    <row r="380" spans="2:23" customFormat="1">
      <c r="B380" s="71"/>
      <c r="C380" s="71"/>
      <c r="D380" s="72"/>
      <c r="E380" s="12"/>
      <c r="F380" s="107"/>
      <c r="G380" s="11"/>
      <c r="H380" s="13"/>
      <c r="I380" s="14"/>
      <c r="J380" s="13"/>
      <c r="K380" s="10"/>
      <c r="L380" s="10"/>
      <c r="M380" s="7"/>
      <c r="N380" s="10"/>
      <c r="O380" s="1"/>
      <c r="P380" s="21"/>
      <c r="Q380" s="23" t="str">
        <f t="shared" si="12"/>
        <v/>
      </c>
      <c r="R380" s="7"/>
      <c r="S380" s="7"/>
      <c r="W380" s="7" t="str">
        <f t="shared" si="13"/>
        <v/>
      </c>
    </row>
    <row r="381" spans="2:23" customFormat="1">
      <c r="B381" s="71"/>
      <c r="C381" s="71"/>
      <c r="D381" s="72"/>
      <c r="E381" s="12"/>
      <c r="F381" s="107"/>
      <c r="G381" s="11"/>
      <c r="H381" s="13"/>
      <c r="I381" s="14"/>
      <c r="J381" s="13"/>
      <c r="K381" s="10"/>
      <c r="L381" s="10"/>
      <c r="M381" s="7"/>
      <c r="N381" s="10"/>
      <c r="O381" s="1"/>
      <c r="P381" s="21"/>
      <c r="Q381" s="23" t="str">
        <f t="shared" si="12"/>
        <v/>
      </c>
      <c r="R381" s="7"/>
      <c r="S381" s="7"/>
      <c r="W381" s="7" t="str">
        <f t="shared" si="13"/>
        <v/>
      </c>
    </row>
    <row r="382" spans="2:23" customFormat="1">
      <c r="B382" s="71"/>
      <c r="C382" s="71"/>
      <c r="D382" s="72"/>
      <c r="E382" s="12"/>
      <c r="F382" s="107"/>
      <c r="G382" s="11"/>
      <c r="H382" s="13"/>
      <c r="I382" s="14"/>
      <c r="J382" s="13"/>
      <c r="K382" s="10"/>
      <c r="L382" s="10"/>
      <c r="M382" s="7"/>
      <c r="N382" s="10"/>
      <c r="O382" s="1"/>
      <c r="P382" s="21"/>
      <c r="Q382" s="23" t="str">
        <f t="shared" si="12"/>
        <v/>
      </c>
      <c r="R382" s="7"/>
      <c r="S382" s="7"/>
      <c r="W382" s="7" t="str">
        <f t="shared" si="13"/>
        <v/>
      </c>
    </row>
    <row r="383" spans="2:23" customFormat="1">
      <c r="B383" s="71"/>
      <c r="C383" s="71"/>
      <c r="D383" s="72"/>
      <c r="E383" s="12"/>
      <c r="F383" s="107"/>
      <c r="G383" s="11"/>
      <c r="H383" s="13"/>
      <c r="I383" s="14"/>
      <c r="J383" s="13"/>
      <c r="K383" s="10"/>
      <c r="L383" s="10"/>
      <c r="M383" s="7"/>
      <c r="N383" s="10"/>
      <c r="O383" s="1"/>
      <c r="P383" s="21"/>
      <c r="Q383" s="23" t="str">
        <f t="shared" si="12"/>
        <v/>
      </c>
      <c r="R383" s="7"/>
      <c r="S383" s="7"/>
      <c r="W383" s="7" t="str">
        <f t="shared" si="13"/>
        <v/>
      </c>
    </row>
    <row r="384" spans="2:23" customFormat="1">
      <c r="B384" s="71"/>
      <c r="C384" s="71"/>
      <c r="D384" s="72"/>
      <c r="E384" s="12"/>
      <c r="F384" s="107"/>
      <c r="G384" s="11"/>
      <c r="H384" s="13"/>
      <c r="I384" s="14"/>
      <c r="J384" s="13"/>
      <c r="K384" s="10"/>
      <c r="L384" s="10"/>
      <c r="M384" s="7"/>
      <c r="N384" s="10"/>
      <c r="O384" s="1"/>
      <c r="P384" s="21"/>
      <c r="Q384" s="23" t="str">
        <f t="shared" si="12"/>
        <v/>
      </c>
      <c r="R384" s="7"/>
      <c r="S384" s="7"/>
      <c r="W384" s="7" t="str">
        <f t="shared" si="13"/>
        <v/>
      </c>
    </row>
    <row r="385" spans="2:23" customFormat="1">
      <c r="B385" s="71"/>
      <c r="C385" s="71"/>
      <c r="D385" s="72"/>
      <c r="E385" s="12"/>
      <c r="F385" s="107"/>
      <c r="G385" s="11"/>
      <c r="H385" s="13"/>
      <c r="I385" s="14"/>
      <c r="J385" s="13"/>
      <c r="K385" s="10"/>
      <c r="L385" s="10"/>
      <c r="M385" s="7"/>
      <c r="N385" s="10"/>
      <c r="O385" s="1"/>
      <c r="P385" s="21"/>
      <c r="Q385" s="23" t="str">
        <f t="shared" si="12"/>
        <v/>
      </c>
      <c r="R385" s="7"/>
      <c r="S385" s="7"/>
      <c r="W385" s="7" t="str">
        <f t="shared" si="13"/>
        <v/>
      </c>
    </row>
    <row r="386" spans="2:23" customFormat="1">
      <c r="B386" s="71"/>
      <c r="C386" s="71"/>
      <c r="D386" s="72"/>
      <c r="E386" s="12"/>
      <c r="F386" s="107"/>
      <c r="G386" s="11"/>
      <c r="H386" s="13"/>
      <c r="I386" s="14"/>
      <c r="J386" s="13"/>
      <c r="K386" s="10"/>
      <c r="L386" s="10"/>
      <c r="M386" s="7"/>
      <c r="N386" s="10"/>
      <c r="O386" s="1"/>
      <c r="P386" s="21"/>
      <c r="Q386" s="23" t="str">
        <f t="shared" si="12"/>
        <v/>
      </c>
      <c r="R386" s="7"/>
      <c r="S386" s="7"/>
      <c r="W386" s="7" t="str">
        <f t="shared" si="13"/>
        <v/>
      </c>
    </row>
    <row r="387" spans="2:23" customFormat="1">
      <c r="B387" s="71"/>
      <c r="C387" s="71"/>
      <c r="D387" s="72"/>
      <c r="E387" s="12"/>
      <c r="F387" s="107"/>
      <c r="G387" s="11"/>
      <c r="H387" s="13"/>
      <c r="I387" s="14"/>
      <c r="J387" s="13"/>
      <c r="K387" s="10"/>
      <c r="L387" s="10"/>
      <c r="M387" s="7"/>
      <c r="N387" s="10"/>
      <c r="O387" s="1"/>
      <c r="P387" s="21"/>
      <c r="Q387" s="23" t="str">
        <f t="shared" si="12"/>
        <v/>
      </c>
      <c r="R387" s="7"/>
      <c r="S387" s="7"/>
      <c r="W387" s="7" t="str">
        <f t="shared" si="13"/>
        <v/>
      </c>
    </row>
    <row r="388" spans="2:23" customFormat="1">
      <c r="B388" s="71"/>
      <c r="C388" s="71"/>
      <c r="D388" s="72"/>
      <c r="E388" s="12"/>
      <c r="F388" s="107"/>
      <c r="G388" s="11"/>
      <c r="H388" s="13"/>
      <c r="I388" s="14"/>
      <c r="J388" s="13"/>
      <c r="K388" s="10"/>
      <c r="L388" s="10"/>
      <c r="M388" s="7"/>
      <c r="N388" s="10"/>
      <c r="O388" s="1"/>
      <c r="P388" s="21"/>
      <c r="Q388" s="23" t="str">
        <f t="shared" si="12"/>
        <v/>
      </c>
      <c r="R388" s="7"/>
      <c r="S388" s="7"/>
      <c r="W388" s="7" t="str">
        <f t="shared" si="13"/>
        <v/>
      </c>
    </row>
    <row r="389" spans="2:23" customFormat="1">
      <c r="B389" s="71"/>
      <c r="C389" s="71"/>
      <c r="D389" s="72"/>
      <c r="E389" s="12"/>
      <c r="F389" s="107"/>
      <c r="G389" s="11"/>
      <c r="H389" s="13"/>
      <c r="I389" s="14"/>
      <c r="J389" s="13"/>
      <c r="K389" s="10"/>
      <c r="L389" s="10"/>
      <c r="M389" s="7"/>
      <c r="N389" s="10"/>
      <c r="O389" s="1"/>
      <c r="P389" s="21"/>
      <c r="Q389" s="23" t="str">
        <f t="shared" si="12"/>
        <v/>
      </c>
      <c r="R389" s="7"/>
      <c r="S389" s="7"/>
      <c r="W389" s="7" t="str">
        <f t="shared" si="13"/>
        <v/>
      </c>
    </row>
    <row r="390" spans="2:23" customFormat="1">
      <c r="B390" s="71"/>
      <c r="C390" s="71"/>
      <c r="D390" s="72"/>
      <c r="E390" s="12"/>
      <c r="F390" s="107"/>
      <c r="G390" s="11"/>
      <c r="H390" s="13"/>
      <c r="I390" s="14"/>
      <c r="J390" s="13"/>
      <c r="K390" s="10"/>
      <c r="L390" s="10"/>
      <c r="M390" s="7"/>
      <c r="N390" s="10"/>
      <c r="O390" s="1"/>
      <c r="P390" s="21"/>
      <c r="Q390" s="23" t="str">
        <f t="shared" si="12"/>
        <v/>
      </c>
      <c r="R390" s="7"/>
      <c r="S390" s="7"/>
      <c r="W390" s="7" t="str">
        <f t="shared" si="13"/>
        <v/>
      </c>
    </row>
    <row r="391" spans="2:23" customFormat="1">
      <c r="B391" s="71"/>
      <c r="C391" s="71"/>
      <c r="D391" s="72"/>
      <c r="E391" s="12"/>
      <c r="F391" s="107"/>
      <c r="G391" s="11"/>
      <c r="H391" s="13"/>
      <c r="I391" s="14"/>
      <c r="J391" s="13"/>
      <c r="K391" s="10"/>
      <c r="L391" s="10"/>
      <c r="M391" s="7"/>
      <c r="N391" s="10"/>
      <c r="O391" s="1"/>
      <c r="P391" s="21"/>
      <c r="Q391" s="23" t="str">
        <f t="shared" si="12"/>
        <v/>
      </c>
      <c r="R391" s="7"/>
      <c r="S391" s="7"/>
      <c r="W391" s="7" t="str">
        <f t="shared" si="13"/>
        <v/>
      </c>
    </row>
    <row r="392" spans="2:23" customFormat="1">
      <c r="B392" s="71"/>
      <c r="C392" s="71"/>
      <c r="D392" s="72"/>
      <c r="E392" s="12"/>
      <c r="F392" s="107"/>
      <c r="G392" s="11"/>
      <c r="H392" s="13"/>
      <c r="I392" s="14"/>
      <c r="J392" s="13"/>
      <c r="K392" s="10"/>
      <c r="L392" s="10"/>
      <c r="M392" s="7"/>
      <c r="N392" s="10"/>
      <c r="O392" s="1"/>
      <c r="P392" s="21"/>
      <c r="Q392" s="23" t="str">
        <f t="shared" si="12"/>
        <v/>
      </c>
      <c r="R392" s="7"/>
      <c r="S392" s="7"/>
      <c r="W392" s="7" t="str">
        <f t="shared" si="13"/>
        <v/>
      </c>
    </row>
    <row r="393" spans="2:23" customFormat="1">
      <c r="B393" s="71"/>
      <c r="C393" s="71"/>
      <c r="D393" s="72"/>
      <c r="E393" s="12"/>
      <c r="F393" s="107"/>
      <c r="G393" s="11"/>
      <c r="H393" s="13"/>
      <c r="I393" s="14"/>
      <c r="J393" s="13"/>
      <c r="K393" s="10"/>
      <c r="L393" s="10"/>
      <c r="M393" s="7"/>
      <c r="N393" s="10"/>
      <c r="O393" s="1"/>
      <c r="P393" s="21"/>
      <c r="Q393" s="23" t="str">
        <f t="shared" si="12"/>
        <v/>
      </c>
      <c r="R393" s="7"/>
      <c r="S393" s="7"/>
      <c r="W393" s="7" t="str">
        <f t="shared" si="13"/>
        <v/>
      </c>
    </row>
    <row r="394" spans="2:23" customFormat="1">
      <c r="B394" s="71"/>
      <c r="C394" s="71"/>
      <c r="D394" s="72"/>
      <c r="E394" s="12"/>
      <c r="F394" s="107"/>
      <c r="G394" s="11"/>
      <c r="H394" s="13"/>
      <c r="I394" s="14"/>
      <c r="J394" s="13"/>
      <c r="K394" s="10"/>
      <c r="L394" s="10"/>
      <c r="M394" s="7"/>
      <c r="N394" s="10"/>
      <c r="O394" s="1"/>
      <c r="P394" s="21"/>
      <c r="Q394" s="23" t="str">
        <f t="shared" si="12"/>
        <v/>
      </c>
      <c r="R394" s="7"/>
      <c r="S394" s="7"/>
      <c r="W394" s="7" t="str">
        <f t="shared" si="13"/>
        <v/>
      </c>
    </row>
    <row r="395" spans="2:23" customFormat="1">
      <c r="B395" s="71"/>
      <c r="C395" s="71"/>
      <c r="D395" s="72"/>
      <c r="E395" s="12"/>
      <c r="F395" s="107"/>
      <c r="G395" s="11"/>
      <c r="H395" s="13"/>
      <c r="I395" s="14"/>
      <c r="J395" s="13"/>
      <c r="K395" s="10"/>
      <c r="L395" s="10"/>
      <c r="M395" s="7"/>
      <c r="N395" s="10"/>
      <c r="O395" s="1"/>
      <c r="P395" s="21"/>
      <c r="Q395" s="23" t="str">
        <f t="shared" si="12"/>
        <v/>
      </c>
      <c r="R395" s="7"/>
      <c r="S395" s="7"/>
      <c r="W395" s="7" t="str">
        <f t="shared" si="13"/>
        <v/>
      </c>
    </row>
    <row r="396" spans="2:23" customFormat="1">
      <c r="B396" s="71"/>
      <c r="C396" s="71"/>
      <c r="D396" s="72"/>
      <c r="E396" s="12"/>
      <c r="F396" s="107"/>
      <c r="G396" s="11"/>
      <c r="H396" s="13"/>
      <c r="I396" s="14"/>
      <c r="J396" s="13"/>
      <c r="K396" s="10"/>
      <c r="L396" s="10"/>
      <c r="M396" s="7"/>
      <c r="N396" s="10"/>
      <c r="O396" s="1"/>
      <c r="P396" s="21"/>
      <c r="Q396" s="23" t="str">
        <f t="shared" si="12"/>
        <v/>
      </c>
      <c r="R396" s="7"/>
      <c r="S396" s="7"/>
      <c r="W396" s="7" t="str">
        <f t="shared" si="13"/>
        <v/>
      </c>
    </row>
    <row r="397" spans="2:23" customFormat="1">
      <c r="B397" s="71"/>
      <c r="C397" s="71"/>
      <c r="D397" s="72"/>
      <c r="E397" s="12"/>
      <c r="F397" s="107"/>
      <c r="G397" s="11"/>
      <c r="H397" s="13"/>
      <c r="I397" s="14"/>
      <c r="J397" s="13"/>
      <c r="K397" s="10"/>
      <c r="L397" s="10"/>
      <c r="M397" s="7"/>
      <c r="N397" s="10"/>
      <c r="O397" s="1"/>
      <c r="P397" s="21"/>
      <c r="Q397" s="23" t="str">
        <f t="shared" si="12"/>
        <v/>
      </c>
      <c r="R397" s="7"/>
      <c r="S397" s="7"/>
      <c r="W397" s="7" t="str">
        <f t="shared" si="13"/>
        <v/>
      </c>
    </row>
    <row r="398" spans="2:23" customFormat="1">
      <c r="B398" s="71"/>
      <c r="C398" s="71"/>
      <c r="D398" s="72"/>
      <c r="E398" s="12"/>
      <c r="F398" s="107"/>
      <c r="G398" s="11"/>
      <c r="H398" s="13"/>
      <c r="I398" s="14"/>
      <c r="J398" s="13"/>
      <c r="K398" s="10"/>
      <c r="L398" s="10"/>
      <c r="M398" s="7"/>
      <c r="N398" s="10"/>
      <c r="O398" s="1"/>
      <c r="P398" s="21"/>
      <c r="Q398" s="23" t="str">
        <f t="shared" si="12"/>
        <v/>
      </c>
      <c r="R398" s="7"/>
      <c r="S398" s="7"/>
      <c r="W398" s="7" t="str">
        <f t="shared" si="13"/>
        <v/>
      </c>
    </row>
    <row r="399" spans="2:23" customFormat="1">
      <c r="B399" s="71"/>
      <c r="C399" s="71"/>
      <c r="D399" s="72"/>
      <c r="E399" s="12"/>
      <c r="F399" s="107"/>
      <c r="G399" s="11"/>
      <c r="H399" s="13"/>
      <c r="I399" s="14"/>
      <c r="J399" s="13"/>
      <c r="K399" s="10"/>
      <c r="L399" s="10"/>
      <c r="M399" s="7"/>
      <c r="N399" s="10"/>
      <c r="O399" s="1"/>
      <c r="P399" s="21"/>
      <c r="Q399" s="23" t="str">
        <f t="shared" si="12"/>
        <v/>
      </c>
      <c r="R399" s="7"/>
      <c r="S399" s="7"/>
      <c r="W399" s="7" t="str">
        <f t="shared" si="13"/>
        <v/>
      </c>
    </row>
    <row r="400" spans="2:23" customFormat="1">
      <c r="B400" s="71"/>
      <c r="C400" s="71"/>
      <c r="D400" s="72"/>
      <c r="E400" s="12"/>
      <c r="F400" s="107"/>
      <c r="G400" s="11"/>
      <c r="H400" s="13"/>
      <c r="I400" s="14"/>
      <c r="J400" s="13"/>
      <c r="K400" s="10"/>
      <c r="L400" s="10"/>
      <c r="M400" s="7"/>
      <c r="N400" s="10"/>
      <c r="O400" s="1"/>
      <c r="P400" s="21"/>
      <c r="Q400" s="23" t="str">
        <f t="shared" si="12"/>
        <v/>
      </c>
      <c r="R400" s="7"/>
      <c r="S400" s="7"/>
      <c r="W400" s="7" t="str">
        <f t="shared" si="13"/>
        <v/>
      </c>
    </row>
    <row r="401" spans="2:23" customFormat="1">
      <c r="B401" s="71"/>
      <c r="C401" s="71"/>
      <c r="D401" s="72"/>
      <c r="E401" s="12"/>
      <c r="F401" s="107"/>
      <c r="G401" s="11"/>
      <c r="H401" s="13"/>
      <c r="I401" s="14"/>
      <c r="J401" s="13"/>
      <c r="K401" s="10"/>
      <c r="L401" s="10"/>
      <c r="M401" s="7"/>
      <c r="N401" s="10"/>
      <c r="O401" s="1"/>
      <c r="P401" s="21"/>
      <c r="Q401" s="23" t="str">
        <f t="shared" si="12"/>
        <v/>
      </c>
      <c r="R401" s="7"/>
      <c r="S401" s="7"/>
      <c r="W401" s="7" t="str">
        <f t="shared" si="13"/>
        <v/>
      </c>
    </row>
    <row r="402" spans="2:23" customFormat="1">
      <c r="B402" s="71"/>
      <c r="C402" s="71"/>
      <c r="D402" s="72"/>
      <c r="E402" s="12"/>
      <c r="F402" s="107"/>
      <c r="G402" s="11"/>
      <c r="H402" s="13"/>
      <c r="I402" s="14"/>
      <c r="J402" s="13"/>
      <c r="K402" s="10"/>
      <c r="L402" s="10"/>
      <c r="M402" s="7"/>
      <c r="N402" s="10"/>
      <c r="O402" s="1"/>
      <c r="P402" s="21"/>
      <c r="Q402" s="23" t="str">
        <f t="shared" si="12"/>
        <v/>
      </c>
      <c r="R402" s="7"/>
      <c r="S402" s="7"/>
      <c r="W402" s="7" t="str">
        <f t="shared" si="13"/>
        <v/>
      </c>
    </row>
    <row r="403" spans="2:23" customFormat="1">
      <c r="B403" s="71"/>
      <c r="C403" s="71"/>
      <c r="D403" s="72"/>
      <c r="E403" s="12"/>
      <c r="F403" s="107"/>
      <c r="G403" s="11"/>
      <c r="H403" s="13"/>
      <c r="I403" s="14"/>
      <c r="J403" s="13"/>
      <c r="K403" s="10"/>
      <c r="L403" s="10"/>
      <c r="M403" s="7"/>
      <c r="N403" s="10"/>
      <c r="O403" s="1"/>
      <c r="P403" s="21"/>
      <c r="Q403" s="23" t="str">
        <f t="shared" si="12"/>
        <v/>
      </c>
      <c r="R403" s="7"/>
      <c r="S403" s="7"/>
      <c r="W403" s="7" t="str">
        <f t="shared" si="13"/>
        <v/>
      </c>
    </row>
    <row r="404" spans="2:23" customFormat="1">
      <c r="B404" s="71"/>
      <c r="C404" s="71"/>
      <c r="D404" s="72"/>
      <c r="E404" s="12"/>
      <c r="F404" s="107"/>
      <c r="G404" s="11"/>
      <c r="H404" s="13"/>
      <c r="I404" s="14"/>
      <c r="J404" s="13"/>
      <c r="K404" s="10"/>
      <c r="L404" s="10"/>
      <c r="M404" s="7"/>
      <c r="N404" s="10"/>
      <c r="O404" s="1"/>
      <c r="P404" s="21"/>
      <c r="Q404" s="23" t="str">
        <f t="shared" si="12"/>
        <v/>
      </c>
      <c r="R404" s="7"/>
      <c r="S404" s="7"/>
      <c r="W404" s="7" t="str">
        <f t="shared" si="13"/>
        <v/>
      </c>
    </row>
    <row r="405" spans="2:23" customFormat="1">
      <c r="B405" s="71"/>
      <c r="C405" s="71"/>
      <c r="D405" s="72"/>
      <c r="E405" s="12"/>
      <c r="F405" s="107"/>
      <c r="G405" s="11"/>
      <c r="H405" s="13"/>
      <c r="I405" s="14"/>
      <c r="J405" s="13"/>
      <c r="K405" s="10"/>
      <c r="L405" s="10"/>
      <c r="M405" s="7"/>
      <c r="N405" s="10"/>
      <c r="O405" s="1"/>
      <c r="P405" s="21"/>
      <c r="Q405" s="23" t="str">
        <f t="shared" si="12"/>
        <v/>
      </c>
      <c r="R405" s="7"/>
      <c r="S405" s="7"/>
      <c r="W405" s="7" t="str">
        <f t="shared" si="13"/>
        <v/>
      </c>
    </row>
    <row r="406" spans="2:23" customFormat="1">
      <c r="B406" s="71"/>
      <c r="C406" s="71"/>
      <c r="D406" s="72"/>
      <c r="E406" s="12"/>
      <c r="F406" s="107"/>
      <c r="G406" s="11"/>
      <c r="H406" s="13"/>
      <c r="I406" s="14"/>
      <c r="J406" s="13"/>
      <c r="K406" s="10"/>
      <c r="L406" s="10"/>
      <c r="M406" s="7"/>
      <c r="N406" s="10"/>
      <c r="O406" s="1"/>
      <c r="P406" s="21"/>
      <c r="Q406" s="23" t="str">
        <f t="shared" si="12"/>
        <v/>
      </c>
      <c r="R406" s="7"/>
      <c r="S406" s="7"/>
      <c r="W406" s="7" t="str">
        <f t="shared" si="13"/>
        <v/>
      </c>
    </row>
    <row r="407" spans="2:23" customFormat="1">
      <c r="B407" s="71"/>
      <c r="C407" s="71"/>
      <c r="D407" s="72"/>
      <c r="E407" s="12"/>
      <c r="F407" s="107"/>
      <c r="G407" s="11"/>
      <c r="H407" s="13"/>
      <c r="I407" s="14"/>
      <c r="J407" s="13"/>
      <c r="K407" s="10"/>
      <c r="L407" s="10"/>
      <c r="M407" s="7"/>
      <c r="N407" s="10"/>
      <c r="O407" s="1"/>
      <c r="P407" s="21"/>
      <c r="Q407" s="23" t="str">
        <f t="shared" ref="Q407:Q470" si="14">IF(P407="Exemplary", "None; meets or exceeds all minimum requirements.",IF(P407="Strong", "Minor gaps in execution or periodic review; improvement needed.",IF(P407="Developing", "Partial compliance; gaps in documentation, roles, or execution.",IF(P407="Emerging", "Informal or incomplete implementation; missing formal documents or procedures.",IF(P407="Critical", "Control not initiated; no documentation or designation.","")))))</f>
        <v/>
      </c>
      <c r="R407" s="7"/>
      <c r="S407" s="7"/>
      <c r="W407" s="7" t="str">
        <f t="shared" si="13"/>
        <v/>
      </c>
    </row>
    <row r="408" spans="2:23" customFormat="1">
      <c r="B408" s="71"/>
      <c r="C408" s="71"/>
      <c r="D408" s="72"/>
      <c r="E408" s="12"/>
      <c r="F408" s="107"/>
      <c r="G408" s="11"/>
      <c r="H408" s="13"/>
      <c r="I408" s="14"/>
      <c r="J408" s="13"/>
      <c r="K408" s="10"/>
      <c r="L408" s="10"/>
      <c r="M408" s="7"/>
      <c r="N408" s="10"/>
      <c r="O408" s="1"/>
      <c r="P408" s="21"/>
      <c r="Q408" s="23" t="str">
        <f t="shared" si="14"/>
        <v/>
      </c>
      <c r="R408" s="7"/>
      <c r="S408" s="7"/>
      <c r="W408" s="7" t="str">
        <f t="shared" ref="W408:W471" si="15">IFERROR(VALUE(MID(P408,7,1)),"")</f>
        <v/>
      </c>
    </row>
    <row r="409" spans="2:23" customFormat="1">
      <c r="B409" s="71"/>
      <c r="C409" s="71"/>
      <c r="D409" s="72"/>
      <c r="E409" s="12"/>
      <c r="F409" s="107"/>
      <c r="G409" s="11"/>
      <c r="H409" s="13"/>
      <c r="I409" s="14"/>
      <c r="J409" s="13"/>
      <c r="K409" s="10"/>
      <c r="L409" s="10"/>
      <c r="M409" s="7"/>
      <c r="N409" s="10"/>
      <c r="O409" s="1"/>
      <c r="P409" s="21"/>
      <c r="Q409" s="23" t="str">
        <f t="shared" si="14"/>
        <v/>
      </c>
      <c r="R409" s="7"/>
      <c r="S409" s="7"/>
      <c r="W409" s="7" t="str">
        <f t="shared" si="15"/>
        <v/>
      </c>
    </row>
    <row r="410" spans="2:23" customFormat="1">
      <c r="B410" s="71"/>
      <c r="C410" s="71"/>
      <c r="D410" s="72"/>
      <c r="E410" s="12"/>
      <c r="F410" s="107"/>
      <c r="G410" s="11"/>
      <c r="H410" s="13"/>
      <c r="I410" s="14"/>
      <c r="J410" s="13"/>
      <c r="K410" s="10"/>
      <c r="L410" s="10"/>
      <c r="M410" s="7"/>
      <c r="N410" s="10"/>
      <c r="O410" s="1"/>
      <c r="P410" s="21"/>
      <c r="Q410" s="23" t="str">
        <f t="shared" si="14"/>
        <v/>
      </c>
      <c r="R410" s="7"/>
      <c r="S410" s="7"/>
      <c r="W410" s="7" t="str">
        <f t="shared" si="15"/>
        <v/>
      </c>
    </row>
    <row r="411" spans="2:23" customFormat="1">
      <c r="B411" s="71"/>
      <c r="C411" s="71"/>
      <c r="D411" s="72"/>
      <c r="E411" s="12"/>
      <c r="F411" s="107"/>
      <c r="G411" s="11"/>
      <c r="H411" s="13"/>
      <c r="I411" s="14"/>
      <c r="J411" s="13"/>
      <c r="K411" s="10"/>
      <c r="L411" s="10"/>
      <c r="M411" s="7"/>
      <c r="N411" s="10"/>
      <c r="O411" s="1"/>
      <c r="P411" s="21"/>
      <c r="Q411" s="23" t="str">
        <f t="shared" si="14"/>
        <v/>
      </c>
      <c r="R411" s="7"/>
      <c r="S411" s="7"/>
      <c r="W411" s="7" t="str">
        <f t="shared" si="15"/>
        <v/>
      </c>
    </row>
    <row r="412" spans="2:23" customFormat="1">
      <c r="B412" s="71"/>
      <c r="C412" s="71"/>
      <c r="D412" s="72"/>
      <c r="E412" s="12"/>
      <c r="F412" s="107"/>
      <c r="G412" s="11"/>
      <c r="H412" s="13"/>
      <c r="I412" s="14"/>
      <c r="J412" s="13"/>
      <c r="K412" s="10"/>
      <c r="L412" s="10"/>
      <c r="M412" s="7"/>
      <c r="N412" s="10"/>
      <c r="O412" s="1"/>
      <c r="P412" s="21"/>
      <c r="Q412" s="23" t="str">
        <f t="shared" si="14"/>
        <v/>
      </c>
      <c r="R412" s="7"/>
      <c r="S412" s="7"/>
      <c r="W412" s="7" t="str">
        <f t="shared" si="15"/>
        <v/>
      </c>
    </row>
    <row r="413" spans="2:23" customFormat="1">
      <c r="B413" s="71"/>
      <c r="C413" s="71"/>
      <c r="D413" s="72"/>
      <c r="E413" s="12"/>
      <c r="F413" s="107"/>
      <c r="G413" s="11"/>
      <c r="H413" s="13"/>
      <c r="I413" s="14"/>
      <c r="J413" s="13"/>
      <c r="K413" s="10"/>
      <c r="L413" s="10"/>
      <c r="M413" s="7"/>
      <c r="N413" s="10"/>
      <c r="O413" s="1"/>
      <c r="P413" s="21"/>
      <c r="Q413" s="23" t="str">
        <f t="shared" si="14"/>
        <v/>
      </c>
      <c r="R413" s="7"/>
      <c r="S413" s="7"/>
      <c r="W413" s="7" t="str">
        <f t="shared" si="15"/>
        <v/>
      </c>
    </row>
    <row r="414" spans="2:23" customFormat="1">
      <c r="B414" s="71"/>
      <c r="C414" s="71"/>
      <c r="D414" s="72"/>
      <c r="E414" s="12"/>
      <c r="F414" s="107"/>
      <c r="G414" s="11"/>
      <c r="H414" s="13"/>
      <c r="I414" s="14"/>
      <c r="J414" s="13"/>
      <c r="K414" s="10"/>
      <c r="L414" s="10"/>
      <c r="M414" s="7"/>
      <c r="N414" s="10"/>
      <c r="O414" s="1"/>
      <c r="P414" s="21"/>
      <c r="Q414" s="23" t="str">
        <f t="shared" si="14"/>
        <v/>
      </c>
      <c r="R414" s="7"/>
      <c r="S414" s="7"/>
      <c r="W414" s="7" t="str">
        <f t="shared" si="15"/>
        <v/>
      </c>
    </row>
    <row r="415" spans="2:23" customFormat="1">
      <c r="B415" s="71"/>
      <c r="C415" s="71"/>
      <c r="D415" s="72"/>
      <c r="E415" s="12"/>
      <c r="F415" s="107"/>
      <c r="G415" s="11"/>
      <c r="H415" s="13"/>
      <c r="I415" s="14"/>
      <c r="J415" s="13"/>
      <c r="K415" s="10"/>
      <c r="L415" s="10"/>
      <c r="M415" s="7"/>
      <c r="N415" s="10"/>
      <c r="O415" s="1"/>
      <c r="P415" s="21"/>
      <c r="Q415" s="23" t="str">
        <f t="shared" si="14"/>
        <v/>
      </c>
      <c r="R415" s="7"/>
      <c r="S415" s="7"/>
      <c r="W415" s="7" t="str">
        <f t="shared" si="15"/>
        <v/>
      </c>
    </row>
    <row r="416" spans="2:23" customFormat="1">
      <c r="B416" s="71"/>
      <c r="C416" s="71"/>
      <c r="D416" s="72"/>
      <c r="E416" s="12"/>
      <c r="F416" s="107"/>
      <c r="G416" s="11"/>
      <c r="H416" s="13"/>
      <c r="I416" s="14"/>
      <c r="J416" s="13"/>
      <c r="K416" s="10"/>
      <c r="L416" s="10"/>
      <c r="M416" s="7"/>
      <c r="N416" s="10"/>
      <c r="O416" s="1"/>
      <c r="P416" s="21"/>
      <c r="Q416" s="23" t="str">
        <f t="shared" si="14"/>
        <v/>
      </c>
      <c r="R416" s="7"/>
      <c r="S416" s="7"/>
      <c r="W416" s="7" t="str">
        <f t="shared" si="15"/>
        <v/>
      </c>
    </row>
    <row r="417" spans="2:23" customFormat="1">
      <c r="B417" s="71"/>
      <c r="C417" s="71"/>
      <c r="D417" s="72"/>
      <c r="E417" s="12"/>
      <c r="F417" s="107"/>
      <c r="G417" s="11"/>
      <c r="H417" s="13"/>
      <c r="I417" s="14"/>
      <c r="J417" s="13"/>
      <c r="K417" s="10"/>
      <c r="L417" s="10"/>
      <c r="M417" s="7"/>
      <c r="N417" s="10"/>
      <c r="O417" s="1"/>
      <c r="P417" s="21"/>
      <c r="Q417" s="23" t="str">
        <f t="shared" si="14"/>
        <v/>
      </c>
      <c r="R417" s="7"/>
      <c r="S417" s="7"/>
      <c r="W417" s="7" t="str">
        <f t="shared" si="15"/>
        <v/>
      </c>
    </row>
    <row r="418" spans="2:23" customFormat="1">
      <c r="B418" s="71"/>
      <c r="C418" s="71"/>
      <c r="D418" s="72"/>
      <c r="E418" s="12"/>
      <c r="F418" s="107"/>
      <c r="G418" s="11"/>
      <c r="H418" s="13"/>
      <c r="I418" s="14"/>
      <c r="J418" s="13"/>
      <c r="K418" s="10"/>
      <c r="L418" s="10"/>
      <c r="M418" s="7"/>
      <c r="N418" s="10"/>
      <c r="O418" s="1"/>
      <c r="P418" s="21"/>
      <c r="Q418" s="23" t="str">
        <f t="shared" si="14"/>
        <v/>
      </c>
      <c r="R418" s="7"/>
      <c r="S418" s="7"/>
      <c r="W418" s="7" t="str">
        <f t="shared" si="15"/>
        <v/>
      </c>
    </row>
    <row r="419" spans="2:23" customFormat="1">
      <c r="B419" s="71"/>
      <c r="C419" s="71"/>
      <c r="D419" s="72"/>
      <c r="E419" s="12"/>
      <c r="F419" s="107"/>
      <c r="G419" s="11"/>
      <c r="H419" s="13"/>
      <c r="I419" s="14"/>
      <c r="J419" s="13"/>
      <c r="K419" s="10"/>
      <c r="L419" s="10"/>
      <c r="M419" s="7"/>
      <c r="N419" s="10"/>
      <c r="O419" s="1"/>
      <c r="P419" s="21"/>
      <c r="Q419" s="23" t="str">
        <f t="shared" si="14"/>
        <v/>
      </c>
      <c r="R419" s="7"/>
      <c r="S419" s="7"/>
      <c r="W419" s="7" t="str">
        <f t="shared" si="15"/>
        <v/>
      </c>
    </row>
    <row r="420" spans="2:23" customFormat="1">
      <c r="B420" s="71"/>
      <c r="C420" s="71"/>
      <c r="D420" s="72"/>
      <c r="E420" s="12"/>
      <c r="F420" s="107"/>
      <c r="G420" s="11"/>
      <c r="H420" s="13"/>
      <c r="I420" s="14"/>
      <c r="J420" s="13"/>
      <c r="K420" s="10"/>
      <c r="L420" s="10"/>
      <c r="M420" s="7"/>
      <c r="N420" s="10"/>
      <c r="O420" s="1"/>
      <c r="P420" s="21"/>
      <c r="Q420" s="23" t="str">
        <f t="shared" si="14"/>
        <v/>
      </c>
      <c r="R420" s="7"/>
      <c r="S420" s="7"/>
      <c r="W420" s="7" t="str">
        <f t="shared" si="15"/>
        <v/>
      </c>
    </row>
    <row r="421" spans="2:23" customFormat="1">
      <c r="B421" s="71"/>
      <c r="C421" s="71"/>
      <c r="D421" s="72"/>
      <c r="E421" s="12"/>
      <c r="F421" s="107"/>
      <c r="G421" s="11"/>
      <c r="H421" s="13"/>
      <c r="I421" s="14"/>
      <c r="J421" s="13"/>
      <c r="K421" s="10"/>
      <c r="L421" s="10"/>
      <c r="M421" s="7"/>
      <c r="N421" s="10"/>
      <c r="O421" s="1"/>
      <c r="P421" s="21"/>
      <c r="Q421" s="23" t="str">
        <f t="shared" si="14"/>
        <v/>
      </c>
      <c r="R421" s="7"/>
      <c r="S421" s="7"/>
      <c r="W421" s="7" t="str">
        <f t="shared" si="15"/>
        <v/>
      </c>
    </row>
    <row r="422" spans="2:23" customFormat="1">
      <c r="B422" s="71"/>
      <c r="C422" s="71"/>
      <c r="D422" s="72"/>
      <c r="E422" s="12"/>
      <c r="F422" s="107"/>
      <c r="G422" s="11"/>
      <c r="H422" s="13"/>
      <c r="I422" s="14"/>
      <c r="J422" s="13"/>
      <c r="K422" s="10"/>
      <c r="L422" s="10"/>
      <c r="M422" s="7"/>
      <c r="N422" s="10"/>
      <c r="O422" s="1"/>
      <c r="P422" s="21"/>
      <c r="Q422" s="23" t="str">
        <f t="shared" si="14"/>
        <v/>
      </c>
      <c r="R422" s="7"/>
      <c r="S422" s="7"/>
      <c r="W422" s="7" t="str">
        <f t="shared" si="15"/>
        <v/>
      </c>
    </row>
    <row r="423" spans="2:23" customFormat="1">
      <c r="B423" s="71"/>
      <c r="C423" s="71"/>
      <c r="D423" s="72"/>
      <c r="E423" s="12"/>
      <c r="F423" s="107"/>
      <c r="G423" s="11"/>
      <c r="H423" s="13"/>
      <c r="I423" s="14"/>
      <c r="J423" s="13"/>
      <c r="K423" s="10"/>
      <c r="L423" s="10"/>
      <c r="M423" s="7"/>
      <c r="N423" s="10"/>
      <c r="O423" s="1"/>
      <c r="P423" s="21"/>
      <c r="Q423" s="23" t="str">
        <f t="shared" si="14"/>
        <v/>
      </c>
      <c r="R423" s="7"/>
      <c r="S423" s="7"/>
      <c r="W423" s="7" t="str">
        <f t="shared" si="15"/>
        <v/>
      </c>
    </row>
    <row r="424" spans="2:23" customFormat="1">
      <c r="B424" s="71"/>
      <c r="C424" s="71"/>
      <c r="D424" s="72"/>
      <c r="E424" s="12"/>
      <c r="F424" s="107"/>
      <c r="G424" s="11"/>
      <c r="H424" s="13"/>
      <c r="I424" s="14"/>
      <c r="J424" s="13"/>
      <c r="K424" s="10"/>
      <c r="L424" s="10"/>
      <c r="M424" s="7"/>
      <c r="N424" s="10"/>
      <c r="O424" s="1"/>
      <c r="P424" s="21"/>
      <c r="Q424" s="23" t="str">
        <f t="shared" si="14"/>
        <v/>
      </c>
      <c r="R424" s="7"/>
      <c r="S424" s="7"/>
      <c r="W424" s="7" t="str">
        <f t="shared" si="15"/>
        <v/>
      </c>
    </row>
    <row r="425" spans="2:23" customFormat="1">
      <c r="B425" s="71"/>
      <c r="C425" s="71"/>
      <c r="D425" s="72"/>
      <c r="E425" s="12"/>
      <c r="F425" s="107"/>
      <c r="G425" s="11"/>
      <c r="H425" s="13"/>
      <c r="I425" s="14"/>
      <c r="J425" s="13"/>
      <c r="K425" s="10"/>
      <c r="L425" s="10"/>
      <c r="M425" s="7"/>
      <c r="N425" s="10"/>
      <c r="O425" s="1"/>
      <c r="P425" s="21"/>
      <c r="Q425" s="23" t="str">
        <f t="shared" si="14"/>
        <v/>
      </c>
      <c r="R425" s="7"/>
      <c r="S425" s="7"/>
      <c r="W425" s="7" t="str">
        <f t="shared" si="15"/>
        <v/>
      </c>
    </row>
    <row r="426" spans="2:23" customFormat="1">
      <c r="B426" s="71"/>
      <c r="C426" s="71"/>
      <c r="D426" s="72"/>
      <c r="E426" s="12"/>
      <c r="F426" s="107"/>
      <c r="G426" s="11"/>
      <c r="H426" s="13"/>
      <c r="I426" s="14"/>
      <c r="J426" s="13"/>
      <c r="K426" s="10"/>
      <c r="L426" s="10"/>
      <c r="M426" s="7"/>
      <c r="N426" s="10"/>
      <c r="O426" s="1"/>
      <c r="P426" s="21"/>
      <c r="Q426" s="23" t="str">
        <f t="shared" si="14"/>
        <v/>
      </c>
      <c r="R426" s="7"/>
      <c r="S426" s="7"/>
      <c r="W426" s="7" t="str">
        <f t="shared" si="15"/>
        <v/>
      </c>
    </row>
    <row r="427" spans="2:23" customFormat="1">
      <c r="B427" s="71"/>
      <c r="C427" s="71"/>
      <c r="D427" s="72"/>
      <c r="E427" s="12"/>
      <c r="F427" s="107"/>
      <c r="G427" s="11"/>
      <c r="H427" s="13"/>
      <c r="I427" s="14"/>
      <c r="J427" s="13"/>
      <c r="K427" s="10"/>
      <c r="L427" s="10"/>
      <c r="M427" s="7"/>
      <c r="N427" s="10"/>
      <c r="O427" s="1"/>
      <c r="P427" s="21"/>
      <c r="Q427" s="23" t="str">
        <f t="shared" si="14"/>
        <v/>
      </c>
      <c r="R427" s="7"/>
      <c r="S427" s="7"/>
      <c r="W427" s="7" t="str">
        <f t="shared" si="15"/>
        <v/>
      </c>
    </row>
    <row r="428" spans="2:23" customFormat="1">
      <c r="B428" s="71"/>
      <c r="C428" s="71"/>
      <c r="D428" s="72"/>
      <c r="E428" s="12"/>
      <c r="F428" s="107"/>
      <c r="G428" s="11"/>
      <c r="H428" s="13"/>
      <c r="I428" s="14"/>
      <c r="J428" s="13"/>
      <c r="K428" s="10"/>
      <c r="L428" s="10"/>
      <c r="M428" s="7"/>
      <c r="N428" s="10"/>
      <c r="O428" s="1"/>
      <c r="P428" s="21"/>
      <c r="Q428" s="23" t="str">
        <f t="shared" si="14"/>
        <v/>
      </c>
      <c r="R428" s="7"/>
      <c r="S428" s="7"/>
      <c r="W428" s="7" t="str">
        <f t="shared" si="15"/>
        <v/>
      </c>
    </row>
    <row r="429" spans="2:23" customFormat="1">
      <c r="B429" s="71"/>
      <c r="C429" s="71"/>
      <c r="D429" s="72"/>
      <c r="E429" s="12"/>
      <c r="F429" s="107"/>
      <c r="G429" s="11"/>
      <c r="H429" s="13"/>
      <c r="I429" s="14"/>
      <c r="J429" s="13"/>
      <c r="K429" s="10"/>
      <c r="L429" s="10"/>
      <c r="M429" s="7"/>
      <c r="N429" s="10"/>
      <c r="O429" s="1"/>
      <c r="P429" s="21"/>
      <c r="Q429" s="23" t="str">
        <f t="shared" si="14"/>
        <v/>
      </c>
      <c r="R429" s="7"/>
      <c r="S429" s="7"/>
      <c r="W429" s="7" t="str">
        <f t="shared" si="15"/>
        <v/>
      </c>
    </row>
    <row r="430" spans="2:23" customFormat="1">
      <c r="B430" s="71"/>
      <c r="C430" s="71"/>
      <c r="D430" s="72"/>
      <c r="E430" s="12"/>
      <c r="F430" s="107"/>
      <c r="G430" s="11"/>
      <c r="H430" s="13"/>
      <c r="I430" s="14"/>
      <c r="J430" s="13"/>
      <c r="K430" s="10"/>
      <c r="L430" s="10"/>
      <c r="M430" s="7"/>
      <c r="N430" s="10"/>
      <c r="O430" s="1"/>
      <c r="P430" s="21"/>
      <c r="Q430" s="23" t="str">
        <f t="shared" si="14"/>
        <v/>
      </c>
      <c r="R430" s="7"/>
      <c r="S430" s="7"/>
      <c r="W430" s="7" t="str">
        <f t="shared" si="15"/>
        <v/>
      </c>
    </row>
    <row r="431" spans="2:23" customFormat="1">
      <c r="B431" s="71"/>
      <c r="C431" s="71"/>
      <c r="D431" s="72"/>
      <c r="E431" s="12"/>
      <c r="F431" s="107"/>
      <c r="G431" s="11"/>
      <c r="H431" s="13"/>
      <c r="I431" s="14"/>
      <c r="J431" s="13"/>
      <c r="K431" s="10"/>
      <c r="L431" s="10"/>
      <c r="M431" s="7"/>
      <c r="N431" s="10"/>
      <c r="O431" s="1"/>
      <c r="P431" s="21"/>
      <c r="Q431" s="23" t="str">
        <f t="shared" si="14"/>
        <v/>
      </c>
      <c r="R431" s="7"/>
      <c r="S431" s="7"/>
      <c r="W431" s="7" t="str">
        <f t="shared" si="15"/>
        <v/>
      </c>
    </row>
    <row r="432" spans="2:23" customFormat="1">
      <c r="B432" s="71"/>
      <c r="C432" s="71"/>
      <c r="D432" s="72"/>
      <c r="E432" s="12"/>
      <c r="F432" s="107"/>
      <c r="G432" s="11"/>
      <c r="H432" s="13"/>
      <c r="I432" s="14"/>
      <c r="J432" s="13"/>
      <c r="K432" s="10"/>
      <c r="L432" s="10"/>
      <c r="M432" s="7"/>
      <c r="N432" s="10"/>
      <c r="O432" s="1"/>
      <c r="P432" s="21"/>
      <c r="Q432" s="23" t="str">
        <f t="shared" si="14"/>
        <v/>
      </c>
      <c r="R432" s="7"/>
      <c r="S432" s="7"/>
      <c r="W432" s="7" t="str">
        <f t="shared" si="15"/>
        <v/>
      </c>
    </row>
    <row r="433" spans="2:23" customFormat="1">
      <c r="B433" s="71"/>
      <c r="C433" s="71"/>
      <c r="D433" s="72"/>
      <c r="E433" s="12"/>
      <c r="F433" s="107"/>
      <c r="G433" s="11"/>
      <c r="H433" s="13"/>
      <c r="I433" s="14"/>
      <c r="J433" s="13"/>
      <c r="K433" s="10"/>
      <c r="L433" s="10"/>
      <c r="M433" s="7"/>
      <c r="N433" s="10"/>
      <c r="O433" s="1"/>
      <c r="P433" s="21"/>
      <c r="Q433" s="23" t="str">
        <f t="shared" si="14"/>
        <v/>
      </c>
      <c r="R433" s="7"/>
      <c r="S433" s="7"/>
      <c r="W433" s="7" t="str">
        <f t="shared" si="15"/>
        <v/>
      </c>
    </row>
    <row r="434" spans="2:23" customFormat="1">
      <c r="B434" s="71"/>
      <c r="C434" s="71"/>
      <c r="D434" s="72"/>
      <c r="E434" s="12"/>
      <c r="F434" s="107"/>
      <c r="G434" s="11"/>
      <c r="H434" s="13"/>
      <c r="I434" s="14"/>
      <c r="J434" s="13"/>
      <c r="K434" s="10"/>
      <c r="L434" s="10"/>
      <c r="M434" s="7"/>
      <c r="N434" s="10"/>
      <c r="O434" s="1"/>
      <c r="P434" s="21"/>
      <c r="Q434" s="23" t="str">
        <f t="shared" si="14"/>
        <v/>
      </c>
      <c r="R434" s="7"/>
      <c r="S434" s="7"/>
      <c r="W434" s="7" t="str">
        <f t="shared" si="15"/>
        <v/>
      </c>
    </row>
    <row r="435" spans="2:23" customFormat="1">
      <c r="B435" s="71"/>
      <c r="C435" s="71"/>
      <c r="D435" s="72"/>
      <c r="E435" s="12"/>
      <c r="F435" s="107"/>
      <c r="G435" s="11"/>
      <c r="H435" s="13"/>
      <c r="I435" s="14"/>
      <c r="J435" s="13"/>
      <c r="K435" s="10"/>
      <c r="L435" s="10"/>
      <c r="M435" s="7"/>
      <c r="N435" s="10"/>
      <c r="O435" s="1"/>
      <c r="P435" s="21"/>
      <c r="Q435" s="23" t="str">
        <f t="shared" si="14"/>
        <v/>
      </c>
      <c r="R435" s="7"/>
      <c r="S435" s="7"/>
      <c r="W435" s="7" t="str">
        <f t="shared" si="15"/>
        <v/>
      </c>
    </row>
    <row r="436" spans="2:23" customFormat="1">
      <c r="B436" s="71"/>
      <c r="C436" s="71"/>
      <c r="D436" s="72"/>
      <c r="E436" s="12"/>
      <c r="F436" s="107"/>
      <c r="G436" s="11"/>
      <c r="H436" s="13"/>
      <c r="I436" s="14"/>
      <c r="J436" s="13"/>
      <c r="K436" s="10"/>
      <c r="L436" s="10"/>
      <c r="M436" s="7"/>
      <c r="N436" s="10"/>
      <c r="O436" s="1"/>
      <c r="P436" s="21"/>
      <c r="Q436" s="23" t="str">
        <f t="shared" si="14"/>
        <v/>
      </c>
      <c r="R436" s="7"/>
      <c r="S436" s="7"/>
      <c r="W436" s="7" t="str">
        <f t="shared" si="15"/>
        <v/>
      </c>
    </row>
    <row r="437" spans="2:23" customFormat="1">
      <c r="B437" s="71"/>
      <c r="C437" s="71"/>
      <c r="D437" s="72"/>
      <c r="E437" s="12"/>
      <c r="F437" s="107"/>
      <c r="G437" s="11"/>
      <c r="H437" s="13"/>
      <c r="I437" s="14"/>
      <c r="J437" s="13"/>
      <c r="K437" s="10"/>
      <c r="L437" s="10"/>
      <c r="M437" s="7"/>
      <c r="N437" s="10"/>
      <c r="O437" s="1"/>
      <c r="P437" s="21"/>
      <c r="Q437" s="23" t="str">
        <f t="shared" si="14"/>
        <v/>
      </c>
      <c r="R437" s="7"/>
      <c r="S437" s="7"/>
      <c r="W437" s="7" t="str">
        <f t="shared" si="15"/>
        <v/>
      </c>
    </row>
    <row r="438" spans="2:23" customFormat="1">
      <c r="B438" s="71"/>
      <c r="C438" s="71"/>
      <c r="D438" s="72"/>
      <c r="E438" s="12"/>
      <c r="F438" s="107"/>
      <c r="G438" s="11"/>
      <c r="H438" s="13"/>
      <c r="I438" s="14"/>
      <c r="J438" s="13"/>
      <c r="K438" s="10"/>
      <c r="L438" s="10"/>
      <c r="M438" s="7"/>
      <c r="N438" s="10"/>
      <c r="O438" s="1"/>
      <c r="P438" s="21"/>
      <c r="Q438" s="23" t="str">
        <f t="shared" si="14"/>
        <v/>
      </c>
      <c r="R438" s="7"/>
      <c r="S438" s="7"/>
      <c r="W438" s="7" t="str">
        <f t="shared" si="15"/>
        <v/>
      </c>
    </row>
    <row r="439" spans="2:23" customFormat="1">
      <c r="B439" s="71"/>
      <c r="C439" s="71"/>
      <c r="D439" s="72"/>
      <c r="E439" s="12"/>
      <c r="F439" s="107"/>
      <c r="G439" s="11"/>
      <c r="H439" s="13"/>
      <c r="I439" s="14"/>
      <c r="J439" s="13"/>
      <c r="K439" s="10"/>
      <c r="L439" s="10"/>
      <c r="M439" s="7"/>
      <c r="N439" s="10"/>
      <c r="O439" s="1"/>
      <c r="P439" s="21"/>
      <c r="Q439" s="23" t="str">
        <f t="shared" si="14"/>
        <v/>
      </c>
      <c r="R439" s="7"/>
      <c r="S439" s="7"/>
      <c r="W439" s="7" t="str">
        <f t="shared" si="15"/>
        <v/>
      </c>
    </row>
    <row r="440" spans="2:23" customFormat="1">
      <c r="B440" s="71"/>
      <c r="C440" s="71"/>
      <c r="D440" s="72"/>
      <c r="E440" s="12"/>
      <c r="F440" s="107"/>
      <c r="G440" s="11"/>
      <c r="H440" s="13"/>
      <c r="I440" s="14"/>
      <c r="J440" s="13"/>
      <c r="K440" s="10"/>
      <c r="L440" s="10"/>
      <c r="M440" s="7"/>
      <c r="N440" s="10"/>
      <c r="O440" s="1"/>
      <c r="P440" s="21"/>
      <c r="Q440" s="23" t="str">
        <f t="shared" si="14"/>
        <v/>
      </c>
      <c r="R440" s="7"/>
      <c r="S440" s="7"/>
      <c r="W440" s="7" t="str">
        <f t="shared" si="15"/>
        <v/>
      </c>
    </row>
    <row r="441" spans="2:23" customFormat="1">
      <c r="B441" s="71"/>
      <c r="C441" s="71"/>
      <c r="D441" s="72"/>
      <c r="E441" s="12"/>
      <c r="F441" s="107"/>
      <c r="G441" s="11"/>
      <c r="H441" s="13"/>
      <c r="I441" s="14"/>
      <c r="J441" s="13"/>
      <c r="K441" s="10"/>
      <c r="L441" s="10"/>
      <c r="M441" s="7"/>
      <c r="N441" s="10"/>
      <c r="O441" s="1"/>
      <c r="P441" s="21"/>
      <c r="Q441" s="23" t="str">
        <f t="shared" si="14"/>
        <v/>
      </c>
      <c r="R441" s="7"/>
      <c r="S441" s="7"/>
      <c r="W441" s="7" t="str">
        <f t="shared" si="15"/>
        <v/>
      </c>
    </row>
    <row r="442" spans="2:23" customFormat="1">
      <c r="B442" s="71"/>
      <c r="C442" s="71"/>
      <c r="D442" s="72"/>
      <c r="E442" s="12"/>
      <c r="F442" s="107"/>
      <c r="G442" s="11"/>
      <c r="H442" s="13"/>
      <c r="I442" s="14"/>
      <c r="J442" s="13"/>
      <c r="K442" s="10"/>
      <c r="L442" s="10"/>
      <c r="M442" s="7"/>
      <c r="N442" s="10"/>
      <c r="O442" s="1"/>
      <c r="P442" s="21"/>
      <c r="Q442" s="23" t="str">
        <f t="shared" si="14"/>
        <v/>
      </c>
      <c r="R442" s="7"/>
      <c r="S442" s="7"/>
      <c r="W442" s="7" t="str">
        <f t="shared" si="15"/>
        <v/>
      </c>
    </row>
    <row r="443" spans="2:23" customFormat="1">
      <c r="B443" s="71"/>
      <c r="C443" s="71"/>
      <c r="D443" s="72"/>
      <c r="E443" s="12"/>
      <c r="F443" s="107"/>
      <c r="G443" s="11"/>
      <c r="H443" s="13"/>
      <c r="I443" s="14"/>
      <c r="J443" s="13"/>
      <c r="K443" s="10"/>
      <c r="L443" s="10"/>
      <c r="M443" s="7"/>
      <c r="N443" s="10"/>
      <c r="O443" s="1"/>
      <c r="P443" s="21"/>
      <c r="Q443" s="23" t="str">
        <f t="shared" si="14"/>
        <v/>
      </c>
      <c r="R443" s="7"/>
      <c r="S443" s="7"/>
      <c r="W443" s="7" t="str">
        <f t="shared" si="15"/>
        <v/>
      </c>
    </row>
    <row r="444" spans="2:23" customFormat="1">
      <c r="B444" s="71"/>
      <c r="C444" s="71"/>
      <c r="D444" s="72"/>
      <c r="E444" s="12"/>
      <c r="F444" s="107"/>
      <c r="G444" s="11"/>
      <c r="H444" s="13"/>
      <c r="I444" s="14"/>
      <c r="J444" s="13"/>
      <c r="K444" s="10"/>
      <c r="L444" s="10"/>
      <c r="M444" s="7"/>
      <c r="N444" s="10"/>
      <c r="O444" s="1"/>
      <c r="P444" s="21"/>
      <c r="Q444" s="23" t="str">
        <f t="shared" si="14"/>
        <v/>
      </c>
      <c r="R444" s="7"/>
      <c r="S444" s="7"/>
      <c r="W444" s="7" t="str">
        <f t="shared" si="15"/>
        <v/>
      </c>
    </row>
    <row r="445" spans="2:23" customFormat="1">
      <c r="B445" s="71"/>
      <c r="C445" s="71"/>
      <c r="D445" s="72"/>
      <c r="E445" s="12"/>
      <c r="F445" s="107"/>
      <c r="G445" s="11"/>
      <c r="H445" s="13"/>
      <c r="I445" s="14"/>
      <c r="J445" s="13"/>
      <c r="K445" s="10"/>
      <c r="L445" s="10"/>
      <c r="M445" s="7"/>
      <c r="N445" s="10"/>
      <c r="O445" s="1"/>
      <c r="P445" s="21"/>
      <c r="Q445" s="23" t="str">
        <f t="shared" si="14"/>
        <v/>
      </c>
      <c r="R445" s="7"/>
      <c r="S445" s="7"/>
      <c r="W445" s="7" t="str">
        <f t="shared" si="15"/>
        <v/>
      </c>
    </row>
    <row r="446" spans="2:23" customFormat="1">
      <c r="B446" s="71"/>
      <c r="C446" s="71"/>
      <c r="D446" s="72"/>
      <c r="E446" s="12"/>
      <c r="F446" s="107"/>
      <c r="G446" s="11"/>
      <c r="H446" s="13"/>
      <c r="I446" s="14"/>
      <c r="J446" s="13"/>
      <c r="K446" s="10"/>
      <c r="L446" s="10"/>
      <c r="M446" s="7"/>
      <c r="N446" s="10"/>
      <c r="O446" s="1"/>
      <c r="P446" s="21"/>
      <c r="Q446" s="23" t="str">
        <f t="shared" si="14"/>
        <v/>
      </c>
      <c r="R446" s="7"/>
      <c r="S446" s="7"/>
      <c r="W446" s="7" t="str">
        <f t="shared" si="15"/>
        <v/>
      </c>
    </row>
    <row r="447" spans="2:23" customFormat="1">
      <c r="B447" s="71"/>
      <c r="C447" s="71"/>
      <c r="D447" s="72"/>
      <c r="E447" s="12"/>
      <c r="F447" s="107"/>
      <c r="G447" s="11"/>
      <c r="H447" s="13"/>
      <c r="I447" s="14"/>
      <c r="J447" s="13"/>
      <c r="K447" s="10"/>
      <c r="L447" s="10"/>
      <c r="M447" s="7"/>
      <c r="N447" s="10"/>
      <c r="O447" s="1"/>
      <c r="P447" s="21"/>
      <c r="Q447" s="23" t="str">
        <f t="shared" si="14"/>
        <v/>
      </c>
      <c r="R447" s="7"/>
      <c r="S447" s="7"/>
      <c r="W447" s="7" t="str">
        <f t="shared" si="15"/>
        <v/>
      </c>
    </row>
    <row r="448" spans="2:23" customFormat="1">
      <c r="B448" s="71"/>
      <c r="C448" s="71"/>
      <c r="D448" s="72"/>
      <c r="E448" s="12"/>
      <c r="F448" s="107"/>
      <c r="G448" s="11"/>
      <c r="H448" s="13"/>
      <c r="I448" s="14"/>
      <c r="J448" s="13"/>
      <c r="K448" s="10"/>
      <c r="L448" s="10"/>
      <c r="M448" s="7"/>
      <c r="N448" s="10"/>
      <c r="O448" s="1"/>
      <c r="P448" s="21"/>
      <c r="Q448" s="23" t="str">
        <f t="shared" si="14"/>
        <v/>
      </c>
      <c r="R448" s="7"/>
      <c r="S448" s="7"/>
      <c r="W448" s="7" t="str">
        <f t="shared" si="15"/>
        <v/>
      </c>
    </row>
    <row r="449" spans="2:23" customFormat="1">
      <c r="B449" s="71"/>
      <c r="C449" s="71"/>
      <c r="D449" s="72"/>
      <c r="E449" s="12"/>
      <c r="F449" s="107"/>
      <c r="G449" s="11"/>
      <c r="H449" s="13"/>
      <c r="I449" s="14"/>
      <c r="J449" s="13"/>
      <c r="K449" s="10"/>
      <c r="L449" s="10"/>
      <c r="M449" s="7"/>
      <c r="N449" s="10"/>
      <c r="O449" s="1"/>
      <c r="P449" s="21"/>
      <c r="Q449" s="23" t="str">
        <f t="shared" si="14"/>
        <v/>
      </c>
      <c r="R449" s="7"/>
      <c r="S449" s="7"/>
      <c r="W449" s="7" t="str">
        <f t="shared" si="15"/>
        <v/>
      </c>
    </row>
    <row r="450" spans="2:23" customFormat="1">
      <c r="B450" s="71"/>
      <c r="C450" s="71"/>
      <c r="D450" s="72"/>
      <c r="E450" s="12"/>
      <c r="F450" s="107"/>
      <c r="G450" s="11"/>
      <c r="H450" s="13"/>
      <c r="I450" s="14"/>
      <c r="J450" s="13"/>
      <c r="K450" s="10"/>
      <c r="L450" s="10"/>
      <c r="M450" s="7"/>
      <c r="N450" s="10"/>
      <c r="O450" s="1"/>
      <c r="P450" s="21"/>
      <c r="Q450" s="23" t="str">
        <f t="shared" si="14"/>
        <v/>
      </c>
      <c r="R450" s="7"/>
      <c r="S450" s="7"/>
      <c r="W450" s="7" t="str">
        <f t="shared" si="15"/>
        <v/>
      </c>
    </row>
    <row r="451" spans="2:23" customFormat="1">
      <c r="B451" s="71"/>
      <c r="C451" s="71"/>
      <c r="D451" s="72"/>
      <c r="E451" s="12"/>
      <c r="F451" s="107"/>
      <c r="G451" s="11"/>
      <c r="H451" s="13"/>
      <c r="I451" s="14"/>
      <c r="J451" s="13"/>
      <c r="K451" s="10"/>
      <c r="L451" s="10"/>
      <c r="M451" s="7"/>
      <c r="N451" s="10"/>
      <c r="O451" s="1"/>
      <c r="P451" s="21"/>
      <c r="Q451" s="23" t="str">
        <f t="shared" si="14"/>
        <v/>
      </c>
      <c r="R451" s="7"/>
      <c r="S451" s="7"/>
      <c r="W451" s="7" t="str">
        <f t="shared" si="15"/>
        <v/>
      </c>
    </row>
    <row r="452" spans="2:23" customFormat="1">
      <c r="B452" s="71"/>
      <c r="C452" s="71"/>
      <c r="D452" s="72"/>
      <c r="E452" s="12"/>
      <c r="F452" s="107"/>
      <c r="G452" s="11"/>
      <c r="H452" s="13"/>
      <c r="I452" s="14"/>
      <c r="J452" s="13"/>
      <c r="K452" s="10"/>
      <c r="L452" s="10"/>
      <c r="M452" s="7"/>
      <c r="N452" s="10"/>
      <c r="O452" s="1"/>
      <c r="P452" s="21"/>
      <c r="Q452" s="23" t="str">
        <f t="shared" si="14"/>
        <v/>
      </c>
      <c r="R452" s="7"/>
      <c r="S452" s="7"/>
      <c r="W452" s="7" t="str">
        <f t="shared" si="15"/>
        <v/>
      </c>
    </row>
    <row r="453" spans="2:23" customFormat="1">
      <c r="B453" s="71"/>
      <c r="C453" s="71"/>
      <c r="D453" s="72"/>
      <c r="E453" s="12"/>
      <c r="F453" s="107"/>
      <c r="G453" s="11"/>
      <c r="H453" s="13"/>
      <c r="I453" s="14"/>
      <c r="J453" s="13"/>
      <c r="K453" s="10"/>
      <c r="L453" s="10"/>
      <c r="M453" s="7"/>
      <c r="N453" s="10"/>
      <c r="O453" s="1"/>
      <c r="P453" s="21"/>
      <c r="Q453" s="23" t="str">
        <f t="shared" si="14"/>
        <v/>
      </c>
      <c r="R453" s="7"/>
      <c r="S453" s="7"/>
      <c r="W453" s="7" t="str">
        <f t="shared" si="15"/>
        <v/>
      </c>
    </row>
    <row r="454" spans="2:23" customFormat="1">
      <c r="B454" s="71"/>
      <c r="C454" s="71"/>
      <c r="D454" s="72"/>
      <c r="E454" s="12"/>
      <c r="F454" s="107"/>
      <c r="G454" s="11"/>
      <c r="H454" s="13"/>
      <c r="I454" s="14"/>
      <c r="J454" s="13"/>
      <c r="K454" s="10"/>
      <c r="L454" s="10"/>
      <c r="M454" s="7"/>
      <c r="N454" s="10"/>
      <c r="O454" s="1"/>
      <c r="P454" s="21"/>
      <c r="Q454" s="23" t="str">
        <f t="shared" si="14"/>
        <v/>
      </c>
      <c r="R454" s="7"/>
      <c r="S454" s="7"/>
      <c r="W454" s="7" t="str">
        <f t="shared" si="15"/>
        <v/>
      </c>
    </row>
    <row r="455" spans="2:23" customFormat="1">
      <c r="B455" s="71"/>
      <c r="C455" s="71"/>
      <c r="D455" s="72"/>
      <c r="E455" s="12"/>
      <c r="F455" s="107"/>
      <c r="G455" s="11"/>
      <c r="H455" s="13"/>
      <c r="I455" s="14"/>
      <c r="J455" s="13"/>
      <c r="K455" s="10"/>
      <c r="L455" s="10"/>
      <c r="M455" s="7"/>
      <c r="N455" s="10"/>
      <c r="O455" s="1"/>
      <c r="P455" s="21"/>
      <c r="Q455" s="23" t="str">
        <f t="shared" si="14"/>
        <v/>
      </c>
      <c r="R455" s="7"/>
      <c r="S455" s="7"/>
      <c r="W455" s="7" t="str">
        <f t="shared" si="15"/>
        <v/>
      </c>
    </row>
    <row r="456" spans="2:23" customFormat="1">
      <c r="B456" s="71"/>
      <c r="C456" s="71"/>
      <c r="D456" s="72"/>
      <c r="E456" s="12"/>
      <c r="F456" s="107"/>
      <c r="G456" s="11"/>
      <c r="H456" s="13"/>
      <c r="I456" s="14"/>
      <c r="J456" s="13"/>
      <c r="K456" s="10"/>
      <c r="L456" s="10"/>
      <c r="M456" s="7"/>
      <c r="N456" s="10"/>
      <c r="O456" s="1"/>
      <c r="P456" s="21"/>
      <c r="Q456" s="23" t="str">
        <f t="shared" si="14"/>
        <v/>
      </c>
      <c r="R456" s="7"/>
      <c r="S456" s="7"/>
      <c r="W456" s="7" t="str">
        <f t="shared" si="15"/>
        <v/>
      </c>
    </row>
    <row r="457" spans="2:23" customFormat="1">
      <c r="B457" s="71"/>
      <c r="C457" s="71"/>
      <c r="D457" s="72"/>
      <c r="E457" s="12"/>
      <c r="F457" s="107"/>
      <c r="G457" s="11"/>
      <c r="H457" s="13"/>
      <c r="I457" s="14"/>
      <c r="J457" s="13"/>
      <c r="K457" s="10"/>
      <c r="L457" s="10"/>
      <c r="M457" s="7"/>
      <c r="N457" s="10"/>
      <c r="O457" s="1"/>
      <c r="P457" s="21"/>
      <c r="Q457" s="23" t="str">
        <f t="shared" si="14"/>
        <v/>
      </c>
      <c r="R457" s="7"/>
      <c r="S457" s="7"/>
      <c r="W457" s="7" t="str">
        <f t="shared" si="15"/>
        <v/>
      </c>
    </row>
    <row r="458" spans="2:23" customFormat="1">
      <c r="B458" s="71"/>
      <c r="C458" s="71"/>
      <c r="D458" s="72"/>
      <c r="E458" s="12"/>
      <c r="F458" s="107"/>
      <c r="G458" s="11"/>
      <c r="H458" s="13"/>
      <c r="I458" s="14"/>
      <c r="J458" s="13"/>
      <c r="K458" s="10"/>
      <c r="L458" s="10"/>
      <c r="M458" s="7"/>
      <c r="N458" s="10"/>
      <c r="O458" s="1"/>
      <c r="P458" s="21"/>
      <c r="Q458" s="23" t="str">
        <f t="shared" si="14"/>
        <v/>
      </c>
      <c r="R458" s="7"/>
      <c r="S458" s="7"/>
      <c r="W458" s="7" t="str">
        <f t="shared" si="15"/>
        <v/>
      </c>
    </row>
    <row r="459" spans="2:23" customFormat="1">
      <c r="B459" s="71"/>
      <c r="C459" s="71"/>
      <c r="D459" s="72"/>
      <c r="E459" s="12"/>
      <c r="F459" s="107"/>
      <c r="G459" s="11"/>
      <c r="H459" s="13"/>
      <c r="I459" s="14"/>
      <c r="J459" s="13"/>
      <c r="K459" s="10"/>
      <c r="L459" s="10"/>
      <c r="M459" s="7"/>
      <c r="N459" s="10"/>
      <c r="O459" s="1"/>
      <c r="P459" s="21"/>
      <c r="Q459" s="23" t="str">
        <f t="shared" si="14"/>
        <v/>
      </c>
      <c r="R459" s="7"/>
      <c r="S459" s="7"/>
      <c r="W459" s="7" t="str">
        <f t="shared" si="15"/>
        <v/>
      </c>
    </row>
    <row r="460" spans="2:23" customFormat="1">
      <c r="B460" s="71"/>
      <c r="C460" s="71"/>
      <c r="D460" s="72"/>
      <c r="E460" s="12"/>
      <c r="F460" s="107"/>
      <c r="G460" s="11"/>
      <c r="H460" s="13"/>
      <c r="I460" s="14"/>
      <c r="J460" s="13"/>
      <c r="K460" s="10"/>
      <c r="L460" s="10"/>
      <c r="M460" s="7"/>
      <c r="N460" s="10"/>
      <c r="O460" s="1"/>
      <c r="P460" s="21"/>
      <c r="Q460" s="23" t="str">
        <f t="shared" si="14"/>
        <v/>
      </c>
      <c r="R460" s="7"/>
      <c r="S460" s="7"/>
      <c r="W460" s="7" t="str">
        <f t="shared" si="15"/>
        <v/>
      </c>
    </row>
    <row r="461" spans="2:23" customFormat="1">
      <c r="B461" s="71"/>
      <c r="C461" s="71"/>
      <c r="D461" s="72"/>
      <c r="E461" s="12"/>
      <c r="F461" s="107"/>
      <c r="G461" s="11"/>
      <c r="H461" s="13"/>
      <c r="I461" s="14"/>
      <c r="J461" s="13"/>
      <c r="K461" s="10"/>
      <c r="L461" s="10"/>
      <c r="M461" s="7"/>
      <c r="N461" s="10"/>
      <c r="O461" s="1"/>
      <c r="P461" s="21"/>
      <c r="Q461" s="23" t="str">
        <f t="shared" si="14"/>
        <v/>
      </c>
      <c r="R461" s="7"/>
      <c r="S461" s="7"/>
      <c r="W461" s="7" t="str">
        <f t="shared" si="15"/>
        <v/>
      </c>
    </row>
    <row r="462" spans="2:23" customFormat="1">
      <c r="B462" s="71"/>
      <c r="C462" s="71"/>
      <c r="D462" s="72"/>
      <c r="E462" s="12"/>
      <c r="F462" s="107"/>
      <c r="G462" s="11"/>
      <c r="H462" s="13"/>
      <c r="I462" s="14"/>
      <c r="J462" s="13"/>
      <c r="K462" s="10"/>
      <c r="L462" s="10"/>
      <c r="M462" s="7"/>
      <c r="N462" s="10"/>
      <c r="O462" s="1"/>
      <c r="P462" s="21"/>
      <c r="Q462" s="23" t="str">
        <f t="shared" si="14"/>
        <v/>
      </c>
      <c r="R462" s="7"/>
      <c r="S462" s="7"/>
      <c r="W462" s="7" t="str">
        <f t="shared" si="15"/>
        <v/>
      </c>
    </row>
    <row r="463" spans="2:23" customFormat="1">
      <c r="B463" s="71"/>
      <c r="C463" s="71"/>
      <c r="D463" s="72"/>
      <c r="E463" s="12"/>
      <c r="F463" s="107"/>
      <c r="G463" s="11"/>
      <c r="H463" s="13"/>
      <c r="I463" s="14"/>
      <c r="J463" s="13"/>
      <c r="K463" s="10"/>
      <c r="L463" s="10"/>
      <c r="M463" s="7"/>
      <c r="N463" s="10"/>
      <c r="O463" s="1"/>
      <c r="P463" s="21"/>
      <c r="Q463" s="23" t="str">
        <f t="shared" si="14"/>
        <v/>
      </c>
      <c r="R463" s="7"/>
      <c r="S463" s="7"/>
      <c r="W463" s="7" t="str">
        <f t="shared" si="15"/>
        <v/>
      </c>
    </row>
    <row r="464" spans="2:23" customFormat="1">
      <c r="B464" s="71"/>
      <c r="C464" s="71"/>
      <c r="D464" s="72"/>
      <c r="E464" s="12"/>
      <c r="F464" s="107"/>
      <c r="G464" s="11"/>
      <c r="H464" s="13"/>
      <c r="I464" s="14"/>
      <c r="J464" s="13"/>
      <c r="K464" s="10"/>
      <c r="L464" s="10"/>
      <c r="M464" s="7"/>
      <c r="N464" s="10"/>
      <c r="O464" s="1"/>
      <c r="P464" s="21"/>
      <c r="Q464" s="23" t="str">
        <f t="shared" si="14"/>
        <v/>
      </c>
      <c r="R464" s="7"/>
      <c r="S464" s="7"/>
      <c r="W464" s="7" t="str">
        <f t="shared" si="15"/>
        <v/>
      </c>
    </row>
    <row r="465" spans="2:23" customFormat="1">
      <c r="B465" s="71"/>
      <c r="C465" s="71"/>
      <c r="D465" s="72"/>
      <c r="E465" s="12"/>
      <c r="F465" s="107"/>
      <c r="G465" s="11"/>
      <c r="H465" s="13"/>
      <c r="I465" s="14"/>
      <c r="J465" s="13"/>
      <c r="K465" s="10"/>
      <c r="L465" s="10"/>
      <c r="M465" s="7"/>
      <c r="N465" s="10"/>
      <c r="O465" s="1"/>
      <c r="P465" s="21"/>
      <c r="Q465" s="23" t="str">
        <f t="shared" si="14"/>
        <v/>
      </c>
      <c r="R465" s="7"/>
      <c r="S465" s="7"/>
      <c r="W465" s="7" t="str">
        <f t="shared" si="15"/>
        <v/>
      </c>
    </row>
    <row r="466" spans="2:23" customFormat="1">
      <c r="B466" s="71"/>
      <c r="C466" s="71"/>
      <c r="D466" s="72"/>
      <c r="E466" s="12"/>
      <c r="F466" s="107"/>
      <c r="G466" s="11"/>
      <c r="H466" s="13"/>
      <c r="I466" s="14"/>
      <c r="J466" s="13"/>
      <c r="K466" s="10"/>
      <c r="L466" s="10"/>
      <c r="M466" s="7"/>
      <c r="N466" s="10"/>
      <c r="O466" s="1"/>
      <c r="P466" s="21"/>
      <c r="Q466" s="23" t="str">
        <f t="shared" si="14"/>
        <v/>
      </c>
      <c r="R466" s="7"/>
      <c r="S466" s="7"/>
      <c r="W466" s="7" t="str">
        <f t="shared" si="15"/>
        <v/>
      </c>
    </row>
    <row r="467" spans="2:23" customFormat="1">
      <c r="B467" s="71"/>
      <c r="C467" s="71"/>
      <c r="D467" s="72"/>
      <c r="E467" s="12"/>
      <c r="F467" s="107"/>
      <c r="G467" s="11"/>
      <c r="H467" s="13"/>
      <c r="I467" s="14"/>
      <c r="J467" s="13"/>
      <c r="K467" s="10"/>
      <c r="L467" s="10"/>
      <c r="M467" s="7"/>
      <c r="N467" s="10"/>
      <c r="O467" s="1"/>
      <c r="P467" s="21"/>
      <c r="Q467" s="23" t="str">
        <f t="shared" si="14"/>
        <v/>
      </c>
      <c r="R467" s="7"/>
      <c r="S467" s="7"/>
      <c r="W467" s="7" t="str">
        <f t="shared" si="15"/>
        <v/>
      </c>
    </row>
    <row r="468" spans="2:23" customFormat="1">
      <c r="B468" s="71"/>
      <c r="C468" s="71"/>
      <c r="D468" s="72"/>
      <c r="E468" s="12"/>
      <c r="F468" s="107"/>
      <c r="G468" s="11"/>
      <c r="H468" s="13"/>
      <c r="I468" s="14"/>
      <c r="J468" s="13"/>
      <c r="K468" s="10"/>
      <c r="L468" s="10"/>
      <c r="M468" s="7"/>
      <c r="N468" s="10"/>
      <c r="O468" s="1"/>
      <c r="P468" s="21"/>
      <c r="Q468" s="23" t="str">
        <f t="shared" si="14"/>
        <v/>
      </c>
      <c r="R468" s="7"/>
      <c r="S468" s="7"/>
      <c r="W468" s="7" t="str">
        <f t="shared" si="15"/>
        <v/>
      </c>
    </row>
    <row r="469" spans="2:23" customFormat="1">
      <c r="B469" s="71"/>
      <c r="C469" s="71"/>
      <c r="D469" s="72"/>
      <c r="E469" s="12"/>
      <c r="F469" s="107"/>
      <c r="G469" s="11"/>
      <c r="H469" s="13"/>
      <c r="I469" s="14"/>
      <c r="J469" s="13"/>
      <c r="K469" s="10"/>
      <c r="L469" s="10"/>
      <c r="M469" s="7"/>
      <c r="N469" s="10"/>
      <c r="O469" s="1"/>
      <c r="P469" s="21"/>
      <c r="Q469" s="23" t="str">
        <f t="shared" si="14"/>
        <v/>
      </c>
      <c r="R469" s="7"/>
      <c r="S469" s="7"/>
      <c r="W469" s="7" t="str">
        <f t="shared" si="15"/>
        <v/>
      </c>
    </row>
    <row r="470" spans="2:23" customFormat="1">
      <c r="B470" s="71"/>
      <c r="C470" s="71"/>
      <c r="D470" s="72"/>
      <c r="E470" s="12"/>
      <c r="F470" s="107"/>
      <c r="G470" s="11"/>
      <c r="H470" s="13"/>
      <c r="I470" s="14"/>
      <c r="J470" s="13"/>
      <c r="K470" s="10"/>
      <c r="L470" s="10"/>
      <c r="M470" s="7"/>
      <c r="N470" s="10"/>
      <c r="O470" s="1"/>
      <c r="P470" s="21"/>
      <c r="Q470" s="23" t="str">
        <f t="shared" si="14"/>
        <v/>
      </c>
      <c r="R470" s="7"/>
      <c r="S470" s="7"/>
      <c r="W470" s="7" t="str">
        <f t="shared" si="15"/>
        <v/>
      </c>
    </row>
    <row r="471" spans="2:23" customFormat="1">
      <c r="B471" s="71"/>
      <c r="C471" s="71"/>
      <c r="D471" s="72"/>
      <c r="E471" s="12"/>
      <c r="F471" s="107"/>
      <c r="G471" s="11"/>
      <c r="H471" s="13"/>
      <c r="I471" s="14"/>
      <c r="J471" s="13"/>
      <c r="K471" s="10"/>
      <c r="L471" s="10"/>
      <c r="M471" s="7"/>
      <c r="N471" s="10"/>
      <c r="O471" s="1"/>
      <c r="P471" s="21"/>
      <c r="Q471" s="23" t="str">
        <f t="shared" ref="Q471:Q534" si="16">IF(P471="Exemplary", "None; meets or exceeds all minimum requirements.",IF(P471="Strong", "Minor gaps in execution or periodic review; improvement needed.",IF(P471="Developing", "Partial compliance; gaps in documentation, roles, or execution.",IF(P471="Emerging", "Informal or incomplete implementation; missing formal documents or procedures.",IF(P471="Critical", "Control not initiated; no documentation or designation.","")))))</f>
        <v/>
      </c>
      <c r="R471" s="7"/>
      <c r="S471" s="7"/>
      <c r="W471" s="7" t="str">
        <f t="shared" si="15"/>
        <v/>
      </c>
    </row>
    <row r="472" spans="2:23" customFormat="1">
      <c r="B472" s="71"/>
      <c r="C472" s="71"/>
      <c r="D472" s="72"/>
      <c r="E472" s="12"/>
      <c r="F472" s="107"/>
      <c r="G472" s="11"/>
      <c r="H472" s="13"/>
      <c r="I472" s="14"/>
      <c r="J472" s="13"/>
      <c r="K472" s="10"/>
      <c r="L472" s="10"/>
      <c r="M472" s="7"/>
      <c r="N472" s="10"/>
      <c r="O472" s="1"/>
      <c r="P472" s="21"/>
      <c r="Q472" s="23" t="str">
        <f t="shared" si="16"/>
        <v/>
      </c>
      <c r="R472" s="7"/>
      <c r="S472" s="7"/>
      <c r="W472" s="7" t="str">
        <f t="shared" ref="W472:W535" si="17">IFERROR(VALUE(MID(P472,7,1)),"")</f>
        <v/>
      </c>
    </row>
    <row r="473" spans="2:23" customFormat="1">
      <c r="B473" s="71"/>
      <c r="C473" s="71"/>
      <c r="D473" s="72"/>
      <c r="E473" s="12"/>
      <c r="F473" s="107"/>
      <c r="G473" s="11"/>
      <c r="H473" s="13"/>
      <c r="I473" s="14"/>
      <c r="J473" s="13"/>
      <c r="K473" s="10"/>
      <c r="L473" s="10"/>
      <c r="M473" s="7"/>
      <c r="N473" s="10"/>
      <c r="O473" s="1"/>
      <c r="P473" s="21"/>
      <c r="Q473" s="23" t="str">
        <f t="shared" si="16"/>
        <v/>
      </c>
      <c r="R473" s="7"/>
      <c r="S473" s="7"/>
      <c r="W473" s="7" t="str">
        <f t="shared" si="17"/>
        <v/>
      </c>
    </row>
    <row r="474" spans="2:23" customFormat="1">
      <c r="B474" s="71"/>
      <c r="C474" s="71"/>
      <c r="D474" s="72"/>
      <c r="E474" s="12"/>
      <c r="F474" s="107"/>
      <c r="G474" s="11"/>
      <c r="H474" s="13"/>
      <c r="I474" s="14"/>
      <c r="J474" s="13"/>
      <c r="K474" s="10"/>
      <c r="L474" s="10"/>
      <c r="M474" s="7"/>
      <c r="N474" s="10"/>
      <c r="O474" s="1"/>
      <c r="P474" s="21"/>
      <c r="Q474" s="23" t="str">
        <f t="shared" si="16"/>
        <v/>
      </c>
      <c r="R474" s="7"/>
      <c r="S474" s="7"/>
      <c r="W474" s="7" t="str">
        <f t="shared" si="17"/>
        <v/>
      </c>
    </row>
    <row r="475" spans="2:23" customFormat="1">
      <c r="B475" s="71"/>
      <c r="C475" s="71"/>
      <c r="D475" s="72"/>
      <c r="E475" s="12"/>
      <c r="F475" s="107"/>
      <c r="G475" s="11"/>
      <c r="H475" s="13"/>
      <c r="I475" s="14"/>
      <c r="J475" s="13"/>
      <c r="K475" s="10"/>
      <c r="L475" s="10"/>
      <c r="M475" s="7"/>
      <c r="N475" s="10"/>
      <c r="O475" s="1"/>
      <c r="P475" s="21"/>
      <c r="Q475" s="23" t="str">
        <f t="shared" si="16"/>
        <v/>
      </c>
      <c r="R475" s="7"/>
      <c r="S475" s="7"/>
      <c r="W475" s="7" t="str">
        <f t="shared" si="17"/>
        <v/>
      </c>
    </row>
    <row r="476" spans="2:23" customFormat="1">
      <c r="B476" s="71"/>
      <c r="C476" s="71"/>
      <c r="D476" s="72"/>
      <c r="E476" s="12"/>
      <c r="F476" s="107"/>
      <c r="G476" s="11"/>
      <c r="H476" s="13"/>
      <c r="I476" s="14"/>
      <c r="J476" s="13"/>
      <c r="K476" s="10"/>
      <c r="L476" s="10"/>
      <c r="M476" s="7"/>
      <c r="N476" s="10"/>
      <c r="O476" s="1"/>
      <c r="P476" s="21"/>
      <c r="Q476" s="23" t="str">
        <f t="shared" si="16"/>
        <v/>
      </c>
      <c r="R476" s="7"/>
      <c r="S476" s="7"/>
      <c r="W476" s="7" t="str">
        <f t="shared" si="17"/>
        <v/>
      </c>
    </row>
    <row r="477" spans="2:23" customFormat="1">
      <c r="B477" s="71"/>
      <c r="C477" s="71"/>
      <c r="D477" s="72"/>
      <c r="E477" s="12"/>
      <c r="F477" s="107"/>
      <c r="G477" s="11"/>
      <c r="H477" s="13"/>
      <c r="I477" s="14"/>
      <c r="J477" s="13"/>
      <c r="K477" s="10"/>
      <c r="L477" s="10"/>
      <c r="M477" s="7"/>
      <c r="N477" s="10"/>
      <c r="O477" s="1"/>
      <c r="P477" s="21"/>
      <c r="Q477" s="23" t="str">
        <f t="shared" si="16"/>
        <v/>
      </c>
      <c r="R477" s="7"/>
      <c r="S477" s="7"/>
      <c r="W477" s="7" t="str">
        <f t="shared" si="17"/>
        <v/>
      </c>
    </row>
    <row r="478" spans="2:23" customFormat="1">
      <c r="B478" s="71"/>
      <c r="C478" s="71"/>
      <c r="D478" s="72"/>
      <c r="E478" s="12"/>
      <c r="F478" s="107"/>
      <c r="G478" s="11"/>
      <c r="H478" s="13"/>
      <c r="I478" s="14"/>
      <c r="J478" s="13"/>
      <c r="K478" s="10"/>
      <c r="L478" s="10"/>
      <c r="M478" s="7"/>
      <c r="N478" s="10"/>
      <c r="O478" s="1"/>
      <c r="P478" s="21"/>
      <c r="Q478" s="23" t="str">
        <f t="shared" si="16"/>
        <v/>
      </c>
      <c r="R478" s="7"/>
      <c r="S478" s="7"/>
      <c r="W478" s="7" t="str">
        <f t="shared" si="17"/>
        <v/>
      </c>
    </row>
    <row r="479" spans="2:23" customFormat="1">
      <c r="B479" s="71"/>
      <c r="C479" s="71"/>
      <c r="D479" s="72"/>
      <c r="E479" s="12"/>
      <c r="F479" s="107"/>
      <c r="G479" s="11"/>
      <c r="H479" s="13"/>
      <c r="I479" s="14"/>
      <c r="J479" s="13"/>
      <c r="K479" s="10"/>
      <c r="L479" s="10"/>
      <c r="M479" s="7"/>
      <c r="N479" s="10"/>
      <c r="O479" s="1"/>
      <c r="P479" s="21"/>
      <c r="Q479" s="23" t="str">
        <f t="shared" si="16"/>
        <v/>
      </c>
      <c r="R479" s="7"/>
      <c r="S479" s="7"/>
      <c r="W479" s="7" t="str">
        <f t="shared" si="17"/>
        <v/>
      </c>
    </row>
    <row r="480" spans="2:23" customFormat="1">
      <c r="B480" s="71"/>
      <c r="C480" s="71"/>
      <c r="D480" s="72"/>
      <c r="E480" s="12"/>
      <c r="F480" s="107"/>
      <c r="G480" s="11"/>
      <c r="H480" s="13"/>
      <c r="I480" s="14"/>
      <c r="J480" s="13"/>
      <c r="K480" s="10"/>
      <c r="L480" s="10"/>
      <c r="M480" s="7"/>
      <c r="N480" s="10"/>
      <c r="O480" s="1"/>
      <c r="P480" s="21"/>
      <c r="Q480" s="23" t="str">
        <f t="shared" si="16"/>
        <v/>
      </c>
      <c r="R480" s="7"/>
      <c r="S480" s="7"/>
      <c r="W480" s="7" t="str">
        <f t="shared" si="17"/>
        <v/>
      </c>
    </row>
    <row r="481" spans="2:23" customFormat="1">
      <c r="B481" s="71"/>
      <c r="C481" s="71"/>
      <c r="D481" s="72"/>
      <c r="E481" s="12"/>
      <c r="F481" s="107"/>
      <c r="G481" s="11"/>
      <c r="H481" s="13"/>
      <c r="I481" s="14"/>
      <c r="J481" s="13"/>
      <c r="K481" s="10"/>
      <c r="L481" s="10"/>
      <c r="M481" s="7"/>
      <c r="N481" s="10"/>
      <c r="O481" s="1"/>
      <c r="P481" s="21"/>
      <c r="Q481" s="23" t="str">
        <f t="shared" si="16"/>
        <v/>
      </c>
      <c r="R481" s="7"/>
      <c r="S481" s="7"/>
      <c r="W481" s="7" t="str">
        <f t="shared" si="17"/>
        <v/>
      </c>
    </row>
    <row r="482" spans="2:23" customFormat="1">
      <c r="B482" s="71"/>
      <c r="C482" s="71"/>
      <c r="D482" s="72"/>
      <c r="E482" s="12"/>
      <c r="F482" s="107"/>
      <c r="G482" s="11"/>
      <c r="H482" s="13"/>
      <c r="I482" s="14"/>
      <c r="J482" s="13"/>
      <c r="K482" s="10"/>
      <c r="L482" s="10"/>
      <c r="M482" s="7"/>
      <c r="N482" s="10"/>
      <c r="O482" s="1"/>
      <c r="P482" s="21"/>
      <c r="Q482" s="23" t="str">
        <f t="shared" si="16"/>
        <v/>
      </c>
      <c r="R482" s="7"/>
      <c r="S482" s="7"/>
      <c r="W482" s="7" t="str">
        <f t="shared" si="17"/>
        <v/>
      </c>
    </row>
    <row r="483" spans="2:23" customFormat="1">
      <c r="B483" s="71"/>
      <c r="C483" s="71"/>
      <c r="D483" s="72"/>
      <c r="E483" s="12"/>
      <c r="F483" s="107"/>
      <c r="G483" s="11"/>
      <c r="H483" s="13"/>
      <c r="I483" s="14"/>
      <c r="J483" s="13"/>
      <c r="K483" s="10"/>
      <c r="L483" s="10"/>
      <c r="M483" s="7"/>
      <c r="N483" s="10"/>
      <c r="O483" s="1"/>
      <c r="P483" s="21"/>
      <c r="Q483" s="23" t="str">
        <f t="shared" si="16"/>
        <v/>
      </c>
      <c r="R483" s="7"/>
      <c r="S483" s="7"/>
      <c r="W483" s="7" t="str">
        <f t="shared" si="17"/>
        <v/>
      </c>
    </row>
    <row r="484" spans="2:23" customFormat="1">
      <c r="B484" s="71"/>
      <c r="C484" s="71"/>
      <c r="D484" s="72"/>
      <c r="E484" s="12"/>
      <c r="F484" s="107"/>
      <c r="G484" s="11"/>
      <c r="H484" s="13"/>
      <c r="I484" s="14"/>
      <c r="J484" s="13"/>
      <c r="K484" s="10"/>
      <c r="L484" s="10"/>
      <c r="M484" s="7"/>
      <c r="N484" s="10"/>
      <c r="O484" s="1"/>
      <c r="P484" s="21"/>
      <c r="Q484" s="23" t="str">
        <f t="shared" si="16"/>
        <v/>
      </c>
      <c r="R484" s="7"/>
      <c r="S484" s="7"/>
      <c r="W484" s="7" t="str">
        <f t="shared" si="17"/>
        <v/>
      </c>
    </row>
    <row r="485" spans="2:23" customFormat="1">
      <c r="B485" s="71"/>
      <c r="C485" s="71"/>
      <c r="D485" s="72"/>
      <c r="E485" s="12"/>
      <c r="F485" s="107"/>
      <c r="G485" s="11"/>
      <c r="H485" s="13"/>
      <c r="I485" s="14"/>
      <c r="J485" s="13"/>
      <c r="K485" s="10"/>
      <c r="L485" s="10"/>
      <c r="M485" s="7"/>
      <c r="N485" s="10"/>
      <c r="O485" s="1"/>
      <c r="P485" s="21"/>
      <c r="Q485" s="23" t="str">
        <f t="shared" si="16"/>
        <v/>
      </c>
      <c r="R485" s="7"/>
      <c r="S485" s="7"/>
      <c r="W485" s="7" t="str">
        <f t="shared" si="17"/>
        <v/>
      </c>
    </row>
    <row r="486" spans="2:23" customFormat="1">
      <c r="B486" s="71"/>
      <c r="C486" s="71"/>
      <c r="D486" s="72"/>
      <c r="E486" s="12"/>
      <c r="F486" s="107"/>
      <c r="G486" s="11"/>
      <c r="H486" s="13"/>
      <c r="I486" s="14"/>
      <c r="J486" s="13"/>
      <c r="K486" s="10"/>
      <c r="L486" s="10"/>
      <c r="M486" s="7"/>
      <c r="N486" s="10"/>
      <c r="O486" s="1"/>
      <c r="P486" s="21"/>
      <c r="Q486" s="23" t="str">
        <f t="shared" si="16"/>
        <v/>
      </c>
      <c r="R486" s="7"/>
      <c r="S486" s="7"/>
      <c r="W486" s="7" t="str">
        <f t="shared" si="17"/>
        <v/>
      </c>
    </row>
    <row r="487" spans="2:23" customFormat="1">
      <c r="B487" s="71"/>
      <c r="C487" s="71"/>
      <c r="D487" s="72"/>
      <c r="E487" s="12"/>
      <c r="F487" s="107"/>
      <c r="G487" s="11"/>
      <c r="H487" s="13"/>
      <c r="I487" s="14"/>
      <c r="J487" s="13"/>
      <c r="K487" s="10"/>
      <c r="L487" s="10"/>
      <c r="M487" s="7"/>
      <c r="N487" s="10"/>
      <c r="O487" s="1"/>
      <c r="P487" s="21"/>
      <c r="Q487" s="23" t="str">
        <f t="shared" si="16"/>
        <v/>
      </c>
      <c r="R487" s="7"/>
      <c r="S487" s="7"/>
      <c r="W487" s="7" t="str">
        <f t="shared" si="17"/>
        <v/>
      </c>
    </row>
    <row r="488" spans="2:23" customFormat="1">
      <c r="B488" s="71"/>
      <c r="C488" s="71"/>
      <c r="D488" s="72"/>
      <c r="E488" s="12"/>
      <c r="F488" s="107"/>
      <c r="G488" s="11"/>
      <c r="H488" s="13"/>
      <c r="I488" s="14"/>
      <c r="J488" s="13"/>
      <c r="K488" s="10"/>
      <c r="L488" s="10"/>
      <c r="M488" s="7"/>
      <c r="N488" s="10"/>
      <c r="O488" s="1"/>
      <c r="P488" s="21"/>
      <c r="Q488" s="23" t="str">
        <f t="shared" si="16"/>
        <v/>
      </c>
      <c r="R488" s="7"/>
      <c r="S488" s="7"/>
      <c r="W488" s="7" t="str">
        <f t="shared" si="17"/>
        <v/>
      </c>
    </row>
    <row r="489" spans="2:23" customFormat="1">
      <c r="B489" s="71"/>
      <c r="C489" s="71"/>
      <c r="D489" s="72"/>
      <c r="E489" s="12"/>
      <c r="F489" s="107"/>
      <c r="G489" s="11"/>
      <c r="H489" s="13"/>
      <c r="I489" s="14"/>
      <c r="J489" s="13"/>
      <c r="K489" s="10"/>
      <c r="L489" s="10"/>
      <c r="M489" s="7"/>
      <c r="N489" s="10"/>
      <c r="O489" s="1"/>
      <c r="P489" s="21"/>
      <c r="Q489" s="23" t="str">
        <f t="shared" si="16"/>
        <v/>
      </c>
      <c r="R489" s="7"/>
      <c r="S489" s="7"/>
      <c r="W489" s="7" t="str">
        <f t="shared" si="17"/>
        <v/>
      </c>
    </row>
    <row r="490" spans="2:23" customFormat="1">
      <c r="B490" s="71"/>
      <c r="C490" s="71"/>
      <c r="D490" s="72"/>
      <c r="E490" s="12"/>
      <c r="F490" s="107"/>
      <c r="G490" s="11"/>
      <c r="H490" s="13"/>
      <c r="I490" s="14"/>
      <c r="J490" s="13"/>
      <c r="K490" s="10"/>
      <c r="L490" s="10"/>
      <c r="M490" s="7"/>
      <c r="N490" s="10"/>
      <c r="O490" s="1"/>
      <c r="P490" s="21"/>
      <c r="Q490" s="23" t="str">
        <f t="shared" si="16"/>
        <v/>
      </c>
      <c r="R490" s="7"/>
      <c r="S490" s="7"/>
      <c r="W490" s="7" t="str">
        <f t="shared" si="17"/>
        <v/>
      </c>
    </row>
    <row r="491" spans="2:23" customFormat="1">
      <c r="B491" s="71"/>
      <c r="C491" s="71"/>
      <c r="D491" s="72"/>
      <c r="E491" s="12"/>
      <c r="F491" s="107"/>
      <c r="G491" s="11"/>
      <c r="H491" s="13"/>
      <c r="I491" s="14"/>
      <c r="J491" s="13"/>
      <c r="K491" s="10"/>
      <c r="L491" s="10"/>
      <c r="M491" s="7"/>
      <c r="N491" s="10"/>
      <c r="O491" s="1"/>
      <c r="P491" s="21"/>
      <c r="Q491" s="23" t="str">
        <f t="shared" si="16"/>
        <v/>
      </c>
      <c r="R491" s="7"/>
      <c r="S491" s="7"/>
      <c r="W491" s="7" t="str">
        <f t="shared" si="17"/>
        <v/>
      </c>
    </row>
    <row r="492" spans="2:23" customFormat="1">
      <c r="B492" s="71"/>
      <c r="C492" s="71"/>
      <c r="D492" s="72"/>
      <c r="E492" s="12"/>
      <c r="F492" s="107"/>
      <c r="G492" s="11"/>
      <c r="H492" s="13"/>
      <c r="I492" s="14"/>
      <c r="J492" s="13"/>
      <c r="K492" s="10"/>
      <c r="L492" s="10"/>
      <c r="M492" s="7"/>
      <c r="N492" s="10"/>
      <c r="O492" s="1"/>
      <c r="P492" s="21"/>
      <c r="Q492" s="23" t="str">
        <f t="shared" si="16"/>
        <v/>
      </c>
      <c r="R492" s="7"/>
      <c r="S492" s="7"/>
      <c r="W492" s="7" t="str">
        <f t="shared" si="17"/>
        <v/>
      </c>
    </row>
    <row r="493" spans="2:23" customFormat="1">
      <c r="B493" s="71"/>
      <c r="C493" s="71"/>
      <c r="D493" s="72"/>
      <c r="E493" s="12"/>
      <c r="F493" s="107"/>
      <c r="G493" s="11"/>
      <c r="H493" s="13"/>
      <c r="I493" s="14"/>
      <c r="J493" s="13"/>
      <c r="K493" s="10"/>
      <c r="L493" s="10"/>
      <c r="M493" s="7"/>
      <c r="N493" s="10"/>
      <c r="O493" s="1"/>
      <c r="P493" s="21"/>
      <c r="Q493" s="23" t="str">
        <f t="shared" si="16"/>
        <v/>
      </c>
      <c r="R493" s="7"/>
      <c r="S493" s="7"/>
      <c r="W493" s="7" t="str">
        <f t="shared" si="17"/>
        <v/>
      </c>
    </row>
    <row r="494" spans="2:23" customFormat="1">
      <c r="B494" s="71"/>
      <c r="C494" s="71"/>
      <c r="D494" s="72"/>
      <c r="E494" s="12"/>
      <c r="F494" s="107"/>
      <c r="G494" s="11"/>
      <c r="H494" s="13"/>
      <c r="I494" s="14"/>
      <c r="J494" s="13"/>
      <c r="K494" s="10"/>
      <c r="L494" s="10"/>
      <c r="M494" s="7"/>
      <c r="N494" s="10"/>
      <c r="O494" s="1"/>
      <c r="P494" s="21"/>
      <c r="Q494" s="23" t="str">
        <f t="shared" si="16"/>
        <v/>
      </c>
      <c r="R494" s="7"/>
      <c r="S494" s="7"/>
      <c r="W494" s="7" t="str">
        <f t="shared" si="17"/>
        <v/>
      </c>
    </row>
    <row r="495" spans="2:23" customFormat="1">
      <c r="B495" s="71"/>
      <c r="C495" s="71"/>
      <c r="D495" s="72"/>
      <c r="E495" s="12"/>
      <c r="F495" s="107"/>
      <c r="G495" s="11"/>
      <c r="H495" s="13"/>
      <c r="I495" s="14"/>
      <c r="J495" s="13"/>
      <c r="K495" s="10"/>
      <c r="L495" s="10"/>
      <c r="M495" s="7"/>
      <c r="N495" s="10"/>
      <c r="O495" s="1"/>
      <c r="P495" s="21"/>
      <c r="Q495" s="23" t="str">
        <f t="shared" si="16"/>
        <v/>
      </c>
      <c r="R495" s="7"/>
      <c r="S495" s="7"/>
      <c r="W495" s="7" t="str">
        <f t="shared" si="17"/>
        <v/>
      </c>
    </row>
    <row r="496" spans="2:23" customFormat="1">
      <c r="B496" s="71"/>
      <c r="C496" s="71"/>
      <c r="D496" s="72"/>
      <c r="E496" s="12"/>
      <c r="F496" s="107"/>
      <c r="G496" s="11"/>
      <c r="H496" s="13"/>
      <c r="I496" s="14"/>
      <c r="J496" s="13"/>
      <c r="K496" s="10"/>
      <c r="L496" s="10"/>
      <c r="M496" s="7"/>
      <c r="N496" s="10"/>
      <c r="O496" s="1"/>
      <c r="P496" s="21"/>
      <c r="Q496" s="23" t="str">
        <f t="shared" si="16"/>
        <v/>
      </c>
      <c r="R496" s="7"/>
      <c r="S496" s="7"/>
      <c r="W496" s="7" t="str">
        <f t="shared" si="17"/>
        <v/>
      </c>
    </row>
    <row r="497" spans="2:23" customFormat="1">
      <c r="B497" s="71"/>
      <c r="C497" s="71"/>
      <c r="D497" s="72"/>
      <c r="E497" s="12"/>
      <c r="F497" s="107"/>
      <c r="G497" s="11"/>
      <c r="H497" s="13"/>
      <c r="I497" s="14"/>
      <c r="J497" s="13"/>
      <c r="K497" s="10"/>
      <c r="L497" s="10"/>
      <c r="M497" s="7"/>
      <c r="N497" s="10"/>
      <c r="O497" s="1"/>
      <c r="P497" s="21"/>
      <c r="Q497" s="23" t="str">
        <f t="shared" si="16"/>
        <v/>
      </c>
      <c r="R497" s="7"/>
      <c r="S497" s="7"/>
      <c r="W497" s="7" t="str">
        <f t="shared" si="17"/>
        <v/>
      </c>
    </row>
    <row r="498" spans="2:23" customFormat="1">
      <c r="B498" s="71"/>
      <c r="C498" s="71"/>
      <c r="D498" s="72"/>
      <c r="E498" s="12"/>
      <c r="F498" s="107"/>
      <c r="G498" s="11"/>
      <c r="H498" s="13"/>
      <c r="I498" s="14"/>
      <c r="J498" s="13"/>
      <c r="K498" s="10"/>
      <c r="L498" s="10"/>
      <c r="M498" s="7"/>
      <c r="N498" s="10"/>
      <c r="O498" s="1"/>
      <c r="P498" s="21"/>
      <c r="Q498" s="23" t="str">
        <f t="shared" si="16"/>
        <v/>
      </c>
      <c r="R498" s="7"/>
      <c r="S498" s="7"/>
      <c r="W498" s="7" t="str">
        <f t="shared" si="17"/>
        <v/>
      </c>
    </row>
    <row r="499" spans="2:23" customFormat="1">
      <c r="B499" s="71"/>
      <c r="C499" s="71"/>
      <c r="D499" s="72"/>
      <c r="E499" s="12"/>
      <c r="F499" s="107"/>
      <c r="G499" s="11"/>
      <c r="H499" s="13"/>
      <c r="I499" s="14"/>
      <c r="J499" s="13"/>
      <c r="K499" s="10"/>
      <c r="L499" s="10"/>
      <c r="M499" s="7"/>
      <c r="N499" s="10"/>
      <c r="O499" s="1"/>
      <c r="P499" s="21"/>
      <c r="Q499" s="23" t="str">
        <f t="shared" si="16"/>
        <v/>
      </c>
      <c r="R499" s="7"/>
      <c r="S499" s="7"/>
      <c r="W499" s="7" t="str">
        <f t="shared" si="17"/>
        <v/>
      </c>
    </row>
    <row r="500" spans="2:23" customFormat="1">
      <c r="B500" s="71"/>
      <c r="C500" s="71"/>
      <c r="D500" s="72"/>
      <c r="E500" s="12"/>
      <c r="F500" s="107"/>
      <c r="G500" s="11"/>
      <c r="H500" s="13"/>
      <c r="I500" s="14"/>
      <c r="J500" s="13"/>
      <c r="K500" s="10"/>
      <c r="L500" s="10"/>
      <c r="M500" s="7"/>
      <c r="N500" s="10"/>
      <c r="O500" s="1"/>
      <c r="P500" s="21"/>
      <c r="Q500" s="23" t="str">
        <f t="shared" si="16"/>
        <v/>
      </c>
      <c r="R500" s="7"/>
      <c r="S500" s="7"/>
      <c r="W500" s="7" t="str">
        <f t="shared" si="17"/>
        <v/>
      </c>
    </row>
    <row r="501" spans="2:23" customFormat="1">
      <c r="B501" s="71"/>
      <c r="C501" s="71"/>
      <c r="D501" s="72"/>
      <c r="E501" s="12"/>
      <c r="F501" s="107"/>
      <c r="G501" s="11"/>
      <c r="H501" s="13"/>
      <c r="I501" s="14"/>
      <c r="J501" s="13"/>
      <c r="K501" s="10"/>
      <c r="L501" s="10"/>
      <c r="M501" s="7"/>
      <c r="N501" s="10"/>
      <c r="O501" s="1"/>
      <c r="P501" s="21"/>
      <c r="Q501" s="23" t="str">
        <f t="shared" si="16"/>
        <v/>
      </c>
      <c r="R501" s="7"/>
      <c r="S501" s="7"/>
      <c r="W501" s="7" t="str">
        <f t="shared" si="17"/>
        <v/>
      </c>
    </row>
    <row r="502" spans="2:23" customFormat="1">
      <c r="B502" s="71"/>
      <c r="C502" s="71"/>
      <c r="D502" s="72"/>
      <c r="E502" s="12"/>
      <c r="F502" s="107"/>
      <c r="G502" s="11"/>
      <c r="H502" s="13"/>
      <c r="I502" s="14"/>
      <c r="J502" s="13"/>
      <c r="K502" s="10"/>
      <c r="L502" s="10"/>
      <c r="M502" s="7"/>
      <c r="N502" s="10"/>
      <c r="O502" s="1"/>
      <c r="P502" s="21"/>
      <c r="Q502" s="23" t="str">
        <f t="shared" si="16"/>
        <v/>
      </c>
      <c r="R502" s="7"/>
      <c r="S502" s="7"/>
      <c r="W502" s="7" t="str">
        <f t="shared" si="17"/>
        <v/>
      </c>
    </row>
    <row r="503" spans="2:23" customFormat="1">
      <c r="B503" s="71"/>
      <c r="C503" s="71"/>
      <c r="D503" s="72"/>
      <c r="E503" s="12"/>
      <c r="F503" s="107"/>
      <c r="G503" s="11"/>
      <c r="H503" s="13"/>
      <c r="I503" s="14"/>
      <c r="J503" s="13"/>
      <c r="K503" s="10"/>
      <c r="L503" s="10"/>
      <c r="M503" s="7"/>
      <c r="N503" s="10"/>
      <c r="O503" s="1"/>
      <c r="P503" s="21"/>
      <c r="Q503" s="23" t="str">
        <f t="shared" si="16"/>
        <v/>
      </c>
      <c r="R503" s="7"/>
      <c r="S503" s="7"/>
      <c r="W503" s="7" t="str">
        <f t="shared" si="17"/>
        <v/>
      </c>
    </row>
    <row r="504" spans="2:23" customFormat="1">
      <c r="B504" s="71"/>
      <c r="C504" s="71"/>
      <c r="D504" s="72"/>
      <c r="E504" s="12"/>
      <c r="F504" s="107"/>
      <c r="G504" s="11"/>
      <c r="H504" s="13"/>
      <c r="I504" s="14"/>
      <c r="J504" s="13"/>
      <c r="K504" s="10"/>
      <c r="L504" s="10"/>
      <c r="M504" s="7"/>
      <c r="N504" s="10"/>
      <c r="O504" s="1"/>
      <c r="P504" s="21"/>
      <c r="Q504" s="23" t="str">
        <f t="shared" si="16"/>
        <v/>
      </c>
      <c r="R504" s="7"/>
      <c r="S504" s="7"/>
      <c r="W504" s="7" t="str">
        <f t="shared" si="17"/>
        <v/>
      </c>
    </row>
    <row r="505" spans="2:23" customFormat="1">
      <c r="B505" s="71"/>
      <c r="C505" s="71"/>
      <c r="D505" s="72"/>
      <c r="E505" s="12"/>
      <c r="F505" s="107"/>
      <c r="G505" s="11"/>
      <c r="H505" s="13"/>
      <c r="I505" s="14"/>
      <c r="J505" s="13"/>
      <c r="K505" s="10"/>
      <c r="L505" s="10"/>
      <c r="M505" s="7"/>
      <c r="N505" s="10"/>
      <c r="O505" s="1"/>
      <c r="P505" s="21"/>
      <c r="Q505" s="23" t="str">
        <f t="shared" si="16"/>
        <v/>
      </c>
      <c r="R505" s="7"/>
      <c r="S505" s="7"/>
      <c r="W505" s="7" t="str">
        <f t="shared" si="17"/>
        <v/>
      </c>
    </row>
    <row r="506" spans="2:23" customFormat="1">
      <c r="B506" s="71"/>
      <c r="C506" s="71"/>
      <c r="D506" s="72"/>
      <c r="E506" s="12"/>
      <c r="F506" s="107"/>
      <c r="G506" s="11"/>
      <c r="H506" s="13"/>
      <c r="I506" s="14"/>
      <c r="J506" s="13"/>
      <c r="K506" s="10"/>
      <c r="L506" s="10"/>
      <c r="M506" s="7"/>
      <c r="N506" s="10"/>
      <c r="O506" s="1"/>
      <c r="P506" s="21"/>
      <c r="Q506" s="23" t="str">
        <f t="shared" si="16"/>
        <v/>
      </c>
      <c r="R506" s="7"/>
      <c r="S506" s="7"/>
      <c r="W506" s="7" t="str">
        <f t="shared" si="17"/>
        <v/>
      </c>
    </row>
    <row r="507" spans="2:23" customFormat="1">
      <c r="B507" s="71"/>
      <c r="C507" s="71"/>
      <c r="D507" s="72"/>
      <c r="E507" s="12"/>
      <c r="F507" s="107"/>
      <c r="G507" s="11"/>
      <c r="H507" s="13"/>
      <c r="I507" s="14"/>
      <c r="J507" s="13"/>
      <c r="K507" s="10"/>
      <c r="L507" s="10"/>
      <c r="M507" s="7"/>
      <c r="N507" s="10"/>
      <c r="O507" s="1"/>
      <c r="P507" s="21"/>
      <c r="Q507" s="23" t="str">
        <f t="shared" si="16"/>
        <v/>
      </c>
      <c r="R507" s="7"/>
      <c r="S507" s="7"/>
      <c r="W507" s="7" t="str">
        <f t="shared" si="17"/>
        <v/>
      </c>
    </row>
    <row r="508" spans="2:23" customFormat="1">
      <c r="B508" s="71"/>
      <c r="C508" s="71"/>
      <c r="D508" s="72"/>
      <c r="E508" s="12"/>
      <c r="F508" s="107"/>
      <c r="G508" s="11"/>
      <c r="H508" s="13"/>
      <c r="I508" s="14"/>
      <c r="J508" s="13"/>
      <c r="K508" s="10"/>
      <c r="L508" s="10"/>
      <c r="M508" s="7"/>
      <c r="N508" s="10"/>
      <c r="O508" s="1"/>
      <c r="P508" s="21"/>
      <c r="Q508" s="23" t="str">
        <f t="shared" si="16"/>
        <v/>
      </c>
      <c r="R508" s="7"/>
      <c r="S508" s="7"/>
      <c r="W508" s="7" t="str">
        <f t="shared" si="17"/>
        <v/>
      </c>
    </row>
    <row r="509" spans="2:23" customFormat="1">
      <c r="B509" s="71"/>
      <c r="C509" s="71"/>
      <c r="D509" s="72"/>
      <c r="E509" s="12"/>
      <c r="F509" s="107"/>
      <c r="G509" s="11"/>
      <c r="H509" s="13"/>
      <c r="I509" s="14"/>
      <c r="J509" s="13"/>
      <c r="K509" s="10"/>
      <c r="L509" s="10"/>
      <c r="M509" s="7"/>
      <c r="N509" s="10"/>
      <c r="O509" s="1"/>
      <c r="P509" s="21"/>
      <c r="Q509" s="23" t="str">
        <f t="shared" si="16"/>
        <v/>
      </c>
      <c r="R509" s="7"/>
      <c r="S509" s="7"/>
      <c r="W509" s="7" t="str">
        <f t="shared" si="17"/>
        <v/>
      </c>
    </row>
    <row r="510" spans="2:23" customFormat="1">
      <c r="B510" s="71"/>
      <c r="C510" s="71"/>
      <c r="D510" s="72"/>
      <c r="E510" s="12"/>
      <c r="F510" s="107"/>
      <c r="G510" s="11"/>
      <c r="H510" s="13"/>
      <c r="I510" s="14"/>
      <c r="J510" s="13"/>
      <c r="K510" s="10"/>
      <c r="L510" s="10"/>
      <c r="M510" s="7"/>
      <c r="N510" s="10"/>
      <c r="O510" s="1"/>
      <c r="P510" s="21"/>
      <c r="Q510" s="23" t="str">
        <f t="shared" si="16"/>
        <v/>
      </c>
      <c r="R510" s="7"/>
      <c r="S510" s="7"/>
      <c r="W510" s="7" t="str">
        <f t="shared" si="17"/>
        <v/>
      </c>
    </row>
    <row r="511" spans="2:23" customFormat="1">
      <c r="B511" s="71"/>
      <c r="C511" s="71"/>
      <c r="D511" s="72"/>
      <c r="E511" s="12"/>
      <c r="F511" s="107"/>
      <c r="G511" s="11"/>
      <c r="H511" s="13"/>
      <c r="I511" s="14"/>
      <c r="J511" s="13"/>
      <c r="K511" s="10"/>
      <c r="L511" s="10"/>
      <c r="M511" s="7"/>
      <c r="N511" s="10"/>
      <c r="O511" s="1"/>
      <c r="P511" s="21"/>
      <c r="Q511" s="23" t="str">
        <f t="shared" si="16"/>
        <v/>
      </c>
      <c r="R511" s="7"/>
      <c r="S511" s="7"/>
      <c r="W511" s="7" t="str">
        <f t="shared" si="17"/>
        <v/>
      </c>
    </row>
    <row r="512" spans="2:23" customFormat="1">
      <c r="B512" s="71"/>
      <c r="C512" s="71"/>
      <c r="D512" s="72"/>
      <c r="E512" s="12"/>
      <c r="F512" s="107"/>
      <c r="G512" s="11"/>
      <c r="H512" s="13"/>
      <c r="I512" s="14"/>
      <c r="J512" s="13"/>
      <c r="K512" s="10"/>
      <c r="L512" s="10"/>
      <c r="M512" s="7"/>
      <c r="N512" s="10"/>
      <c r="O512" s="1"/>
      <c r="P512" s="21"/>
      <c r="Q512" s="23" t="str">
        <f t="shared" si="16"/>
        <v/>
      </c>
      <c r="R512" s="7"/>
      <c r="S512" s="7"/>
      <c r="W512" s="7" t="str">
        <f t="shared" si="17"/>
        <v/>
      </c>
    </row>
    <row r="513" spans="2:23" customFormat="1">
      <c r="B513" s="71"/>
      <c r="C513" s="71"/>
      <c r="D513" s="72"/>
      <c r="E513" s="12"/>
      <c r="F513" s="107"/>
      <c r="G513" s="11"/>
      <c r="H513" s="13"/>
      <c r="I513" s="14"/>
      <c r="J513" s="13"/>
      <c r="K513" s="10"/>
      <c r="L513" s="10"/>
      <c r="M513" s="7"/>
      <c r="N513" s="10"/>
      <c r="O513" s="1"/>
      <c r="P513" s="21"/>
      <c r="Q513" s="23" t="str">
        <f t="shared" si="16"/>
        <v/>
      </c>
      <c r="R513" s="7"/>
      <c r="S513" s="7"/>
      <c r="W513" s="7" t="str">
        <f t="shared" si="17"/>
        <v/>
      </c>
    </row>
    <row r="514" spans="2:23" customFormat="1">
      <c r="B514" s="71"/>
      <c r="C514" s="71"/>
      <c r="D514" s="72"/>
      <c r="E514" s="12"/>
      <c r="F514" s="107"/>
      <c r="G514" s="11"/>
      <c r="H514" s="13"/>
      <c r="I514" s="14"/>
      <c r="J514" s="13"/>
      <c r="K514" s="10"/>
      <c r="L514" s="10"/>
      <c r="M514" s="7"/>
      <c r="N514" s="10"/>
      <c r="O514" s="1"/>
      <c r="P514" s="21"/>
      <c r="Q514" s="23" t="str">
        <f t="shared" si="16"/>
        <v/>
      </c>
      <c r="R514" s="7"/>
      <c r="S514" s="7"/>
      <c r="W514" s="7" t="str">
        <f t="shared" si="17"/>
        <v/>
      </c>
    </row>
    <row r="515" spans="2:23" customFormat="1">
      <c r="B515" s="71"/>
      <c r="C515" s="71"/>
      <c r="D515" s="72"/>
      <c r="E515" s="12"/>
      <c r="F515" s="107"/>
      <c r="G515" s="11"/>
      <c r="H515" s="13"/>
      <c r="I515" s="14"/>
      <c r="J515" s="13"/>
      <c r="K515" s="10"/>
      <c r="L515" s="10"/>
      <c r="M515" s="7"/>
      <c r="N515" s="10"/>
      <c r="O515" s="1"/>
      <c r="P515" s="21"/>
      <c r="Q515" s="23" t="str">
        <f t="shared" si="16"/>
        <v/>
      </c>
      <c r="R515" s="7"/>
      <c r="S515" s="7"/>
      <c r="W515" s="7" t="str">
        <f t="shared" si="17"/>
        <v/>
      </c>
    </row>
    <row r="516" spans="2:23" customFormat="1">
      <c r="B516" s="71"/>
      <c r="C516" s="71"/>
      <c r="D516" s="72"/>
      <c r="E516" s="12"/>
      <c r="F516" s="107"/>
      <c r="G516" s="11"/>
      <c r="H516" s="13"/>
      <c r="I516" s="14"/>
      <c r="J516" s="13"/>
      <c r="K516" s="10"/>
      <c r="L516" s="10"/>
      <c r="M516" s="7"/>
      <c r="N516" s="10"/>
      <c r="O516" s="1"/>
      <c r="P516" s="21"/>
      <c r="Q516" s="23" t="str">
        <f t="shared" si="16"/>
        <v/>
      </c>
      <c r="R516" s="7"/>
      <c r="S516" s="7"/>
      <c r="W516" s="7" t="str">
        <f t="shared" si="17"/>
        <v/>
      </c>
    </row>
    <row r="517" spans="2:23" customFormat="1">
      <c r="B517" s="71"/>
      <c r="C517" s="71"/>
      <c r="D517" s="72"/>
      <c r="E517" s="12"/>
      <c r="F517" s="107"/>
      <c r="G517" s="11"/>
      <c r="H517" s="13"/>
      <c r="I517" s="14"/>
      <c r="J517" s="13"/>
      <c r="K517" s="10"/>
      <c r="L517" s="10"/>
      <c r="M517" s="7"/>
      <c r="N517" s="10"/>
      <c r="O517" s="1"/>
      <c r="P517" s="21"/>
      <c r="Q517" s="23" t="str">
        <f t="shared" si="16"/>
        <v/>
      </c>
      <c r="R517" s="7"/>
      <c r="S517" s="7"/>
      <c r="W517" s="7" t="str">
        <f t="shared" si="17"/>
        <v/>
      </c>
    </row>
    <row r="518" spans="2:23" customFormat="1">
      <c r="B518" s="71"/>
      <c r="C518" s="71"/>
      <c r="D518" s="72"/>
      <c r="E518" s="12"/>
      <c r="F518" s="107"/>
      <c r="G518" s="11"/>
      <c r="H518" s="13"/>
      <c r="I518" s="14"/>
      <c r="J518" s="13"/>
      <c r="K518" s="10"/>
      <c r="L518" s="10"/>
      <c r="M518" s="7"/>
      <c r="N518" s="10"/>
      <c r="O518" s="1"/>
      <c r="P518" s="21"/>
      <c r="Q518" s="23" t="str">
        <f t="shared" si="16"/>
        <v/>
      </c>
      <c r="R518" s="7"/>
      <c r="S518" s="7"/>
      <c r="W518" s="7" t="str">
        <f t="shared" si="17"/>
        <v/>
      </c>
    </row>
    <row r="519" spans="2:23" customFormat="1">
      <c r="B519" s="71"/>
      <c r="C519" s="71"/>
      <c r="D519" s="72"/>
      <c r="E519" s="12"/>
      <c r="F519" s="107"/>
      <c r="G519" s="11"/>
      <c r="H519" s="13"/>
      <c r="I519" s="14"/>
      <c r="J519" s="13"/>
      <c r="K519" s="10"/>
      <c r="L519" s="10"/>
      <c r="M519" s="7"/>
      <c r="N519" s="10"/>
      <c r="O519" s="1"/>
      <c r="P519" s="21"/>
      <c r="Q519" s="23" t="str">
        <f t="shared" si="16"/>
        <v/>
      </c>
      <c r="R519" s="7"/>
      <c r="S519" s="7"/>
      <c r="W519" s="7" t="str">
        <f t="shared" si="17"/>
        <v/>
      </c>
    </row>
    <row r="520" spans="2:23" customFormat="1">
      <c r="B520" s="71"/>
      <c r="C520" s="71"/>
      <c r="D520" s="72"/>
      <c r="E520" s="12"/>
      <c r="F520" s="107"/>
      <c r="G520" s="11"/>
      <c r="H520" s="13"/>
      <c r="I520" s="14"/>
      <c r="J520" s="13"/>
      <c r="K520" s="10"/>
      <c r="L520" s="10"/>
      <c r="M520" s="7"/>
      <c r="N520" s="10"/>
      <c r="O520" s="1"/>
      <c r="P520" s="21"/>
      <c r="Q520" s="23" t="str">
        <f t="shared" si="16"/>
        <v/>
      </c>
      <c r="R520" s="7"/>
      <c r="S520" s="7"/>
      <c r="W520" s="7" t="str">
        <f t="shared" si="17"/>
        <v/>
      </c>
    </row>
    <row r="521" spans="2:23" customFormat="1">
      <c r="B521" s="71"/>
      <c r="C521" s="71"/>
      <c r="D521" s="72"/>
      <c r="E521" s="12"/>
      <c r="F521" s="107"/>
      <c r="G521" s="11"/>
      <c r="H521" s="13"/>
      <c r="I521" s="14"/>
      <c r="J521" s="13"/>
      <c r="K521" s="10"/>
      <c r="L521" s="10"/>
      <c r="M521" s="7"/>
      <c r="N521" s="10"/>
      <c r="O521" s="1"/>
      <c r="P521" s="21"/>
      <c r="Q521" s="23" t="str">
        <f t="shared" si="16"/>
        <v/>
      </c>
      <c r="R521" s="7"/>
      <c r="S521" s="7"/>
      <c r="W521" s="7" t="str">
        <f t="shared" si="17"/>
        <v/>
      </c>
    </row>
    <row r="522" spans="2:23" customFormat="1">
      <c r="B522" s="71"/>
      <c r="C522" s="71"/>
      <c r="D522" s="72"/>
      <c r="E522" s="12"/>
      <c r="F522" s="107"/>
      <c r="G522" s="11"/>
      <c r="H522" s="13"/>
      <c r="I522" s="14"/>
      <c r="J522" s="13"/>
      <c r="K522" s="10"/>
      <c r="L522" s="10"/>
      <c r="M522" s="7"/>
      <c r="N522" s="10"/>
      <c r="O522" s="1"/>
      <c r="P522" s="21"/>
      <c r="Q522" s="23" t="str">
        <f t="shared" si="16"/>
        <v/>
      </c>
      <c r="R522" s="7"/>
      <c r="S522" s="7"/>
      <c r="W522" s="7" t="str">
        <f t="shared" si="17"/>
        <v/>
      </c>
    </row>
    <row r="523" spans="2:23" customFormat="1">
      <c r="B523" s="71"/>
      <c r="C523" s="71"/>
      <c r="D523" s="72"/>
      <c r="E523" s="12"/>
      <c r="F523" s="107"/>
      <c r="G523" s="11"/>
      <c r="H523" s="13"/>
      <c r="I523" s="14"/>
      <c r="J523" s="13"/>
      <c r="K523" s="10"/>
      <c r="L523" s="10"/>
      <c r="M523" s="7"/>
      <c r="N523" s="10"/>
      <c r="O523" s="1"/>
      <c r="P523" s="21"/>
      <c r="Q523" s="23" t="str">
        <f t="shared" si="16"/>
        <v/>
      </c>
      <c r="R523" s="7"/>
      <c r="S523" s="7"/>
      <c r="W523" s="7" t="str">
        <f t="shared" si="17"/>
        <v/>
      </c>
    </row>
    <row r="524" spans="2:23" customFormat="1">
      <c r="B524" s="71"/>
      <c r="C524" s="71"/>
      <c r="D524" s="72"/>
      <c r="E524" s="12"/>
      <c r="F524" s="107"/>
      <c r="G524" s="11"/>
      <c r="H524" s="13"/>
      <c r="I524" s="14"/>
      <c r="J524" s="13"/>
      <c r="K524" s="10"/>
      <c r="L524" s="10"/>
      <c r="M524" s="7"/>
      <c r="N524" s="10"/>
      <c r="O524" s="1"/>
      <c r="P524" s="21"/>
      <c r="Q524" s="23" t="str">
        <f t="shared" si="16"/>
        <v/>
      </c>
      <c r="R524" s="7"/>
      <c r="S524" s="7"/>
      <c r="W524" s="7" t="str">
        <f t="shared" si="17"/>
        <v/>
      </c>
    </row>
    <row r="525" spans="2:23" customFormat="1">
      <c r="B525" s="71"/>
      <c r="C525" s="71"/>
      <c r="D525" s="72"/>
      <c r="E525" s="12"/>
      <c r="F525" s="107"/>
      <c r="G525" s="11"/>
      <c r="H525" s="13"/>
      <c r="I525" s="14"/>
      <c r="J525" s="13"/>
      <c r="K525" s="10"/>
      <c r="L525" s="10"/>
      <c r="M525" s="7"/>
      <c r="N525" s="10"/>
      <c r="O525" s="1"/>
      <c r="P525" s="21"/>
      <c r="Q525" s="23" t="str">
        <f t="shared" si="16"/>
        <v/>
      </c>
      <c r="R525" s="7"/>
      <c r="S525" s="7"/>
      <c r="W525" s="7" t="str">
        <f t="shared" si="17"/>
        <v/>
      </c>
    </row>
    <row r="526" spans="2:23" customFormat="1">
      <c r="B526" s="71"/>
      <c r="C526" s="71"/>
      <c r="D526" s="72"/>
      <c r="E526" s="12"/>
      <c r="F526" s="107"/>
      <c r="G526" s="11"/>
      <c r="H526" s="13"/>
      <c r="I526" s="14"/>
      <c r="J526" s="13"/>
      <c r="K526" s="10"/>
      <c r="L526" s="10"/>
      <c r="M526" s="7"/>
      <c r="N526" s="10"/>
      <c r="O526" s="1"/>
      <c r="P526" s="21"/>
      <c r="Q526" s="23" t="str">
        <f t="shared" si="16"/>
        <v/>
      </c>
      <c r="R526" s="7"/>
      <c r="S526" s="7"/>
      <c r="W526" s="7" t="str">
        <f t="shared" si="17"/>
        <v/>
      </c>
    </row>
    <row r="527" spans="2:23" customFormat="1">
      <c r="B527" s="71"/>
      <c r="C527" s="71"/>
      <c r="D527" s="72"/>
      <c r="E527" s="12"/>
      <c r="F527" s="107"/>
      <c r="G527" s="11"/>
      <c r="H527" s="13"/>
      <c r="I527" s="14"/>
      <c r="J527" s="13"/>
      <c r="K527" s="10"/>
      <c r="L527" s="10"/>
      <c r="M527" s="7"/>
      <c r="N527" s="10"/>
      <c r="O527" s="1"/>
      <c r="P527" s="21"/>
      <c r="Q527" s="23" t="str">
        <f t="shared" si="16"/>
        <v/>
      </c>
      <c r="R527" s="7"/>
      <c r="S527" s="7"/>
      <c r="W527" s="7" t="str">
        <f t="shared" si="17"/>
        <v/>
      </c>
    </row>
    <row r="528" spans="2:23" customFormat="1">
      <c r="B528" s="71"/>
      <c r="C528" s="71"/>
      <c r="D528" s="72"/>
      <c r="E528" s="12"/>
      <c r="F528" s="107"/>
      <c r="G528" s="11"/>
      <c r="H528" s="13"/>
      <c r="I528" s="14"/>
      <c r="J528" s="13"/>
      <c r="K528" s="10"/>
      <c r="L528" s="10"/>
      <c r="M528" s="7"/>
      <c r="N528" s="10"/>
      <c r="O528" s="1"/>
      <c r="P528" s="21"/>
      <c r="Q528" s="23" t="str">
        <f t="shared" si="16"/>
        <v/>
      </c>
      <c r="R528" s="7"/>
      <c r="S528" s="7"/>
      <c r="W528" s="7" t="str">
        <f t="shared" si="17"/>
        <v/>
      </c>
    </row>
    <row r="529" spans="2:23" customFormat="1">
      <c r="B529" s="71"/>
      <c r="C529" s="71"/>
      <c r="D529" s="72"/>
      <c r="E529" s="12"/>
      <c r="F529" s="107"/>
      <c r="G529" s="11"/>
      <c r="H529" s="13"/>
      <c r="I529" s="14"/>
      <c r="J529" s="13"/>
      <c r="K529" s="10"/>
      <c r="L529" s="10"/>
      <c r="M529" s="7"/>
      <c r="N529" s="10"/>
      <c r="O529" s="1"/>
      <c r="P529" s="21"/>
      <c r="Q529" s="23" t="str">
        <f t="shared" si="16"/>
        <v/>
      </c>
      <c r="R529" s="7"/>
      <c r="S529" s="7"/>
      <c r="W529" s="7" t="str">
        <f t="shared" si="17"/>
        <v/>
      </c>
    </row>
    <row r="530" spans="2:23" customFormat="1">
      <c r="B530" s="71"/>
      <c r="C530" s="71"/>
      <c r="D530" s="72"/>
      <c r="E530" s="12"/>
      <c r="F530" s="107"/>
      <c r="G530" s="11"/>
      <c r="H530" s="13"/>
      <c r="I530" s="14"/>
      <c r="J530" s="13"/>
      <c r="K530" s="10"/>
      <c r="L530" s="10"/>
      <c r="M530" s="7"/>
      <c r="N530" s="10"/>
      <c r="O530" s="1"/>
      <c r="P530" s="21"/>
      <c r="Q530" s="23" t="str">
        <f t="shared" si="16"/>
        <v/>
      </c>
      <c r="R530" s="7"/>
      <c r="S530" s="7"/>
      <c r="W530" s="7" t="str">
        <f t="shared" si="17"/>
        <v/>
      </c>
    </row>
    <row r="531" spans="2:23" customFormat="1">
      <c r="B531" s="71"/>
      <c r="C531" s="71"/>
      <c r="D531" s="72"/>
      <c r="E531" s="12"/>
      <c r="F531" s="107"/>
      <c r="G531" s="11"/>
      <c r="H531" s="13"/>
      <c r="I531" s="14"/>
      <c r="J531" s="13"/>
      <c r="K531" s="10"/>
      <c r="L531" s="10"/>
      <c r="M531" s="7"/>
      <c r="N531" s="10"/>
      <c r="O531" s="1"/>
      <c r="P531" s="21"/>
      <c r="Q531" s="23" t="str">
        <f t="shared" si="16"/>
        <v/>
      </c>
      <c r="R531" s="7"/>
      <c r="S531" s="7"/>
      <c r="W531" s="7" t="str">
        <f t="shared" si="17"/>
        <v/>
      </c>
    </row>
    <row r="532" spans="2:23" customFormat="1">
      <c r="B532" s="71"/>
      <c r="C532" s="71"/>
      <c r="D532" s="72"/>
      <c r="E532" s="12"/>
      <c r="F532" s="107"/>
      <c r="G532" s="11"/>
      <c r="H532" s="13"/>
      <c r="I532" s="14"/>
      <c r="J532" s="13"/>
      <c r="K532" s="10"/>
      <c r="L532" s="10"/>
      <c r="M532" s="7"/>
      <c r="N532" s="10"/>
      <c r="O532" s="1"/>
      <c r="P532" s="21"/>
      <c r="Q532" s="23" t="str">
        <f t="shared" si="16"/>
        <v/>
      </c>
      <c r="R532" s="7"/>
      <c r="S532" s="7"/>
      <c r="W532" s="7" t="str">
        <f t="shared" si="17"/>
        <v/>
      </c>
    </row>
    <row r="533" spans="2:23" customFormat="1">
      <c r="B533" s="71"/>
      <c r="C533" s="71"/>
      <c r="D533" s="72"/>
      <c r="E533" s="12"/>
      <c r="F533" s="107"/>
      <c r="G533" s="11"/>
      <c r="H533" s="13"/>
      <c r="I533" s="14"/>
      <c r="J533" s="13"/>
      <c r="K533" s="10"/>
      <c r="L533" s="10"/>
      <c r="M533" s="7"/>
      <c r="N533" s="10"/>
      <c r="O533" s="1"/>
      <c r="P533" s="21"/>
      <c r="Q533" s="23" t="str">
        <f t="shared" si="16"/>
        <v/>
      </c>
      <c r="R533" s="7"/>
      <c r="S533" s="7"/>
      <c r="W533" s="7" t="str">
        <f t="shared" si="17"/>
        <v/>
      </c>
    </row>
    <row r="534" spans="2:23" customFormat="1">
      <c r="B534" s="71"/>
      <c r="C534" s="71"/>
      <c r="D534" s="72"/>
      <c r="E534" s="12"/>
      <c r="F534" s="107"/>
      <c r="G534" s="11"/>
      <c r="H534" s="13"/>
      <c r="I534" s="14"/>
      <c r="J534" s="13"/>
      <c r="K534" s="10"/>
      <c r="L534" s="10"/>
      <c r="M534" s="7"/>
      <c r="N534" s="10"/>
      <c r="O534" s="1"/>
      <c r="P534" s="21"/>
      <c r="Q534" s="23" t="str">
        <f t="shared" si="16"/>
        <v/>
      </c>
      <c r="R534" s="7"/>
      <c r="S534" s="7"/>
      <c r="W534" s="7" t="str">
        <f t="shared" si="17"/>
        <v/>
      </c>
    </row>
    <row r="535" spans="2:23" customFormat="1">
      <c r="B535" s="71"/>
      <c r="C535" s="71"/>
      <c r="D535" s="72"/>
      <c r="E535" s="12"/>
      <c r="F535" s="107"/>
      <c r="G535" s="11"/>
      <c r="H535" s="13"/>
      <c r="I535" s="14"/>
      <c r="J535" s="13"/>
      <c r="K535" s="10"/>
      <c r="L535" s="10"/>
      <c r="M535" s="7"/>
      <c r="N535" s="10"/>
      <c r="O535" s="1"/>
      <c r="P535" s="21"/>
      <c r="Q535" s="23" t="str">
        <f t="shared" ref="Q535:Q598" si="18">IF(P535="Exemplary", "None; meets or exceeds all minimum requirements.",IF(P535="Strong", "Minor gaps in execution or periodic review; improvement needed.",IF(P535="Developing", "Partial compliance; gaps in documentation, roles, or execution.",IF(P535="Emerging", "Informal or incomplete implementation; missing formal documents or procedures.",IF(P535="Critical", "Control not initiated; no documentation or designation.","")))))</f>
        <v/>
      </c>
      <c r="R535" s="7"/>
      <c r="S535" s="7"/>
      <c r="W535" s="7" t="str">
        <f t="shared" si="17"/>
        <v/>
      </c>
    </row>
    <row r="536" spans="2:23" customFormat="1">
      <c r="B536" s="71"/>
      <c r="C536" s="71"/>
      <c r="D536" s="72"/>
      <c r="E536" s="12"/>
      <c r="F536" s="107"/>
      <c r="G536" s="11"/>
      <c r="H536" s="13"/>
      <c r="I536" s="14"/>
      <c r="J536" s="13"/>
      <c r="K536" s="10"/>
      <c r="L536" s="10"/>
      <c r="M536" s="7"/>
      <c r="N536" s="10"/>
      <c r="O536" s="1"/>
      <c r="P536" s="21"/>
      <c r="Q536" s="23" t="str">
        <f t="shared" si="18"/>
        <v/>
      </c>
      <c r="R536" s="7"/>
      <c r="S536" s="7"/>
      <c r="W536" s="7" t="str">
        <f t="shared" ref="W536:W599" si="19">IFERROR(VALUE(MID(P536,7,1)),"")</f>
        <v/>
      </c>
    </row>
    <row r="537" spans="2:23" customFormat="1">
      <c r="B537" s="71"/>
      <c r="C537" s="71"/>
      <c r="D537" s="72"/>
      <c r="E537" s="12"/>
      <c r="F537" s="107"/>
      <c r="G537" s="11"/>
      <c r="H537" s="13"/>
      <c r="I537" s="14"/>
      <c r="J537" s="13"/>
      <c r="K537" s="10"/>
      <c r="L537" s="10"/>
      <c r="M537" s="7"/>
      <c r="N537" s="10"/>
      <c r="O537" s="1"/>
      <c r="P537" s="21"/>
      <c r="Q537" s="23" t="str">
        <f t="shared" si="18"/>
        <v/>
      </c>
      <c r="R537" s="7"/>
      <c r="S537" s="7"/>
      <c r="W537" s="7" t="str">
        <f t="shared" si="19"/>
        <v/>
      </c>
    </row>
    <row r="538" spans="2:23" customFormat="1">
      <c r="B538" s="71"/>
      <c r="C538" s="71"/>
      <c r="D538" s="72"/>
      <c r="E538" s="12"/>
      <c r="F538" s="107"/>
      <c r="G538" s="11"/>
      <c r="H538" s="13"/>
      <c r="I538" s="14"/>
      <c r="J538" s="13"/>
      <c r="K538" s="10"/>
      <c r="L538" s="10"/>
      <c r="M538" s="7"/>
      <c r="N538" s="10"/>
      <c r="O538" s="1"/>
      <c r="P538" s="21"/>
      <c r="Q538" s="23" t="str">
        <f t="shared" si="18"/>
        <v/>
      </c>
      <c r="R538" s="7"/>
      <c r="S538" s="7"/>
      <c r="W538" s="7" t="str">
        <f t="shared" si="19"/>
        <v/>
      </c>
    </row>
    <row r="539" spans="2:23" customFormat="1">
      <c r="B539" s="71"/>
      <c r="C539" s="71"/>
      <c r="D539" s="72"/>
      <c r="E539" s="12"/>
      <c r="F539" s="107"/>
      <c r="G539" s="11"/>
      <c r="H539" s="13"/>
      <c r="I539" s="14"/>
      <c r="J539" s="13"/>
      <c r="K539" s="10"/>
      <c r="L539" s="10"/>
      <c r="M539" s="7"/>
      <c r="N539" s="10"/>
      <c r="O539" s="1"/>
      <c r="P539" s="21"/>
      <c r="Q539" s="23" t="str">
        <f t="shared" si="18"/>
        <v/>
      </c>
      <c r="R539" s="7"/>
      <c r="S539" s="7"/>
      <c r="W539" s="7" t="str">
        <f t="shared" si="19"/>
        <v/>
      </c>
    </row>
    <row r="540" spans="2:23" customFormat="1">
      <c r="B540" s="71"/>
      <c r="C540" s="71"/>
      <c r="D540" s="72"/>
      <c r="E540" s="12"/>
      <c r="F540" s="107"/>
      <c r="G540" s="11"/>
      <c r="H540" s="13"/>
      <c r="I540" s="14"/>
      <c r="J540" s="13"/>
      <c r="K540" s="10"/>
      <c r="L540" s="10"/>
      <c r="M540" s="7"/>
      <c r="N540" s="10"/>
      <c r="O540" s="1"/>
      <c r="P540" s="21"/>
      <c r="Q540" s="23" t="str">
        <f t="shared" si="18"/>
        <v/>
      </c>
      <c r="R540" s="7"/>
      <c r="S540" s="7"/>
      <c r="W540" s="7" t="str">
        <f t="shared" si="19"/>
        <v/>
      </c>
    </row>
    <row r="541" spans="2:23" customFormat="1">
      <c r="B541" s="71"/>
      <c r="C541" s="71"/>
      <c r="D541" s="72"/>
      <c r="E541" s="12"/>
      <c r="F541" s="107"/>
      <c r="G541" s="11"/>
      <c r="H541" s="13"/>
      <c r="I541" s="14"/>
      <c r="J541" s="13"/>
      <c r="K541" s="10"/>
      <c r="L541" s="10"/>
      <c r="M541" s="7"/>
      <c r="N541" s="10"/>
      <c r="O541" s="1"/>
      <c r="P541" s="21"/>
      <c r="Q541" s="23" t="str">
        <f t="shared" si="18"/>
        <v/>
      </c>
      <c r="R541" s="7"/>
      <c r="S541" s="7"/>
      <c r="W541" s="7" t="str">
        <f t="shared" si="19"/>
        <v/>
      </c>
    </row>
    <row r="542" spans="2:23" customFormat="1">
      <c r="B542" s="71"/>
      <c r="C542" s="71"/>
      <c r="D542" s="72"/>
      <c r="E542" s="12"/>
      <c r="F542" s="107"/>
      <c r="G542" s="11"/>
      <c r="H542" s="13"/>
      <c r="I542" s="14"/>
      <c r="J542" s="13"/>
      <c r="K542" s="10"/>
      <c r="L542" s="10"/>
      <c r="M542" s="7"/>
      <c r="N542" s="10"/>
      <c r="O542" s="1"/>
      <c r="P542" s="21"/>
      <c r="Q542" s="23" t="str">
        <f t="shared" si="18"/>
        <v/>
      </c>
      <c r="R542" s="7"/>
      <c r="S542" s="7"/>
      <c r="W542" s="7" t="str">
        <f t="shared" si="19"/>
        <v/>
      </c>
    </row>
    <row r="543" spans="2:23" customFormat="1">
      <c r="B543" s="71"/>
      <c r="C543" s="71"/>
      <c r="D543" s="72"/>
      <c r="E543" s="12"/>
      <c r="F543" s="107"/>
      <c r="G543" s="11"/>
      <c r="H543" s="13"/>
      <c r="I543" s="14"/>
      <c r="J543" s="13"/>
      <c r="K543" s="10"/>
      <c r="L543" s="10"/>
      <c r="M543" s="7"/>
      <c r="N543" s="10"/>
      <c r="O543" s="1"/>
      <c r="P543" s="21"/>
      <c r="Q543" s="23" t="str">
        <f t="shared" si="18"/>
        <v/>
      </c>
      <c r="R543" s="7"/>
      <c r="S543" s="7"/>
      <c r="W543" s="7" t="str">
        <f t="shared" si="19"/>
        <v/>
      </c>
    </row>
    <row r="544" spans="2:23" customFormat="1">
      <c r="B544" s="71"/>
      <c r="C544" s="71"/>
      <c r="D544" s="72"/>
      <c r="E544" s="12"/>
      <c r="F544" s="107"/>
      <c r="G544" s="11"/>
      <c r="H544" s="13"/>
      <c r="I544" s="14"/>
      <c r="J544" s="13"/>
      <c r="K544" s="10"/>
      <c r="L544" s="10"/>
      <c r="M544" s="7"/>
      <c r="N544" s="10"/>
      <c r="O544" s="1"/>
      <c r="P544" s="21"/>
      <c r="Q544" s="23" t="str">
        <f t="shared" si="18"/>
        <v/>
      </c>
      <c r="R544" s="7"/>
      <c r="S544" s="7"/>
      <c r="W544" s="7" t="str">
        <f t="shared" si="19"/>
        <v/>
      </c>
    </row>
    <row r="545" spans="2:23" customFormat="1">
      <c r="B545" s="71"/>
      <c r="C545" s="71"/>
      <c r="D545" s="72"/>
      <c r="E545" s="12"/>
      <c r="F545" s="107"/>
      <c r="G545" s="11"/>
      <c r="H545" s="13"/>
      <c r="I545" s="14"/>
      <c r="J545" s="13"/>
      <c r="K545" s="10"/>
      <c r="L545" s="10"/>
      <c r="M545" s="7"/>
      <c r="N545" s="10"/>
      <c r="O545" s="1"/>
      <c r="P545" s="21"/>
      <c r="Q545" s="23" t="str">
        <f t="shared" si="18"/>
        <v/>
      </c>
      <c r="R545" s="7"/>
      <c r="S545" s="7"/>
      <c r="W545" s="7" t="str">
        <f t="shared" si="19"/>
        <v/>
      </c>
    </row>
    <row r="546" spans="2:23" customFormat="1">
      <c r="B546" s="71"/>
      <c r="C546" s="71"/>
      <c r="D546" s="72"/>
      <c r="E546" s="12"/>
      <c r="F546" s="107"/>
      <c r="G546" s="11"/>
      <c r="H546" s="13"/>
      <c r="I546" s="14"/>
      <c r="J546" s="13"/>
      <c r="K546" s="10"/>
      <c r="L546" s="10"/>
      <c r="M546" s="7"/>
      <c r="N546" s="10"/>
      <c r="O546" s="1"/>
      <c r="P546" s="21"/>
      <c r="Q546" s="23" t="str">
        <f t="shared" si="18"/>
        <v/>
      </c>
      <c r="R546" s="7"/>
      <c r="S546" s="7"/>
      <c r="W546" s="7" t="str">
        <f t="shared" si="19"/>
        <v/>
      </c>
    </row>
    <row r="547" spans="2:23" customFormat="1">
      <c r="B547" s="71"/>
      <c r="C547" s="71"/>
      <c r="D547" s="72"/>
      <c r="E547" s="12"/>
      <c r="F547" s="107"/>
      <c r="G547" s="11"/>
      <c r="H547" s="13"/>
      <c r="I547" s="14"/>
      <c r="J547" s="13"/>
      <c r="K547" s="10"/>
      <c r="L547" s="10"/>
      <c r="M547" s="7"/>
      <c r="N547" s="10"/>
      <c r="O547" s="1"/>
      <c r="P547" s="21"/>
      <c r="Q547" s="23" t="str">
        <f t="shared" si="18"/>
        <v/>
      </c>
      <c r="R547" s="7"/>
      <c r="S547" s="7"/>
      <c r="W547" s="7" t="str">
        <f t="shared" si="19"/>
        <v/>
      </c>
    </row>
    <row r="548" spans="2:23" customFormat="1">
      <c r="B548" s="71"/>
      <c r="C548" s="71"/>
      <c r="D548" s="72"/>
      <c r="E548" s="12"/>
      <c r="F548" s="107"/>
      <c r="G548" s="11"/>
      <c r="H548" s="13"/>
      <c r="I548" s="14"/>
      <c r="J548" s="13"/>
      <c r="K548" s="10"/>
      <c r="L548" s="10"/>
      <c r="M548" s="7"/>
      <c r="N548" s="10"/>
      <c r="O548" s="1"/>
      <c r="P548" s="21"/>
      <c r="Q548" s="23" t="str">
        <f t="shared" si="18"/>
        <v/>
      </c>
      <c r="R548" s="7"/>
      <c r="S548" s="7"/>
      <c r="W548" s="7" t="str">
        <f t="shared" si="19"/>
        <v/>
      </c>
    </row>
    <row r="549" spans="2:23" customFormat="1">
      <c r="B549" s="71"/>
      <c r="C549" s="71"/>
      <c r="D549" s="72"/>
      <c r="E549" s="12"/>
      <c r="F549" s="107"/>
      <c r="G549" s="11"/>
      <c r="H549" s="13"/>
      <c r="I549" s="14"/>
      <c r="J549" s="13"/>
      <c r="K549" s="10"/>
      <c r="L549" s="10"/>
      <c r="M549" s="7"/>
      <c r="N549" s="10"/>
      <c r="O549" s="1"/>
      <c r="P549" s="21"/>
      <c r="Q549" s="23" t="str">
        <f t="shared" si="18"/>
        <v/>
      </c>
      <c r="R549" s="7"/>
      <c r="S549" s="7"/>
      <c r="W549" s="7" t="str">
        <f t="shared" si="19"/>
        <v/>
      </c>
    </row>
    <row r="550" spans="2:23" customFormat="1">
      <c r="B550" s="71"/>
      <c r="C550" s="71"/>
      <c r="D550" s="72"/>
      <c r="E550" s="12"/>
      <c r="F550" s="107"/>
      <c r="G550" s="11"/>
      <c r="H550" s="13"/>
      <c r="I550" s="14"/>
      <c r="J550" s="13"/>
      <c r="K550" s="10"/>
      <c r="L550" s="10"/>
      <c r="M550" s="7"/>
      <c r="N550" s="10"/>
      <c r="O550" s="1"/>
      <c r="P550" s="21"/>
      <c r="Q550" s="23" t="str">
        <f t="shared" si="18"/>
        <v/>
      </c>
      <c r="R550" s="7"/>
      <c r="S550" s="7"/>
      <c r="W550" s="7" t="str">
        <f t="shared" si="19"/>
        <v/>
      </c>
    </row>
    <row r="551" spans="2:23" customFormat="1">
      <c r="B551" s="71"/>
      <c r="C551" s="71"/>
      <c r="D551" s="72"/>
      <c r="E551" s="12"/>
      <c r="F551" s="107"/>
      <c r="G551" s="11"/>
      <c r="H551" s="13"/>
      <c r="I551" s="14"/>
      <c r="J551" s="13"/>
      <c r="K551" s="10"/>
      <c r="L551" s="10"/>
      <c r="M551" s="7"/>
      <c r="N551" s="10"/>
      <c r="O551" s="1"/>
      <c r="P551" s="21"/>
      <c r="Q551" s="23" t="str">
        <f t="shared" si="18"/>
        <v/>
      </c>
      <c r="R551" s="7"/>
      <c r="S551" s="7"/>
      <c r="W551" s="7" t="str">
        <f t="shared" si="19"/>
        <v/>
      </c>
    </row>
    <row r="552" spans="2:23" customFormat="1">
      <c r="B552" s="71"/>
      <c r="C552" s="71"/>
      <c r="D552" s="72"/>
      <c r="E552" s="12"/>
      <c r="F552" s="107"/>
      <c r="G552" s="11"/>
      <c r="H552" s="13"/>
      <c r="I552" s="14"/>
      <c r="J552" s="13"/>
      <c r="K552" s="10"/>
      <c r="L552" s="10"/>
      <c r="M552" s="7"/>
      <c r="N552" s="10"/>
      <c r="O552" s="1"/>
      <c r="P552" s="21"/>
      <c r="Q552" s="23" t="str">
        <f t="shared" si="18"/>
        <v/>
      </c>
      <c r="R552" s="7"/>
      <c r="S552" s="7"/>
      <c r="W552" s="7" t="str">
        <f t="shared" si="19"/>
        <v/>
      </c>
    </row>
    <row r="553" spans="2:23" customFormat="1">
      <c r="B553" s="71"/>
      <c r="C553" s="71"/>
      <c r="D553" s="72"/>
      <c r="E553" s="12"/>
      <c r="F553" s="107"/>
      <c r="G553" s="11"/>
      <c r="H553" s="13"/>
      <c r="I553" s="14"/>
      <c r="J553" s="13"/>
      <c r="K553" s="10"/>
      <c r="L553" s="10"/>
      <c r="M553" s="7"/>
      <c r="N553" s="10"/>
      <c r="O553" s="1"/>
      <c r="P553" s="21"/>
      <c r="Q553" s="23" t="str">
        <f t="shared" si="18"/>
        <v/>
      </c>
      <c r="R553" s="7"/>
      <c r="S553" s="7"/>
      <c r="W553" s="7" t="str">
        <f t="shared" si="19"/>
        <v/>
      </c>
    </row>
    <row r="554" spans="2:23" customFormat="1">
      <c r="B554" s="71"/>
      <c r="C554" s="71"/>
      <c r="D554" s="72"/>
      <c r="E554" s="12"/>
      <c r="F554" s="107"/>
      <c r="G554" s="11"/>
      <c r="H554" s="13"/>
      <c r="I554" s="14"/>
      <c r="J554" s="13"/>
      <c r="K554" s="10"/>
      <c r="L554" s="10"/>
      <c r="M554" s="7"/>
      <c r="N554" s="10"/>
      <c r="O554" s="1"/>
      <c r="P554" s="21"/>
      <c r="Q554" s="23" t="str">
        <f t="shared" si="18"/>
        <v/>
      </c>
      <c r="R554" s="7"/>
      <c r="S554" s="7"/>
      <c r="W554" s="7" t="str">
        <f t="shared" si="19"/>
        <v/>
      </c>
    </row>
    <row r="555" spans="2:23" customFormat="1">
      <c r="B555" s="71"/>
      <c r="C555" s="71"/>
      <c r="D555" s="72"/>
      <c r="E555" s="12"/>
      <c r="F555" s="107"/>
      <c r="G555" s="11"/>
      <c r="H555" s="13"/>
      <c r="I555" s="14"/>
      <c r="J555" s="13"/>
      <c r="K555" s="10"/>
      <c r="L555" s="10"/>
      <c r="M555" s="7"/>
      <c r="N555" s="10"/>
      <c r="O555" s="1"/>
      <c r="P555" s="21"/>
      <c r="Q555" s="23" t="str">
        <f t="shared" si="18"/>
        <v/>
      </c>
      <c r="R555" s="7"/>
      <c r="S555" s="7"/>
      <c r="W555" s="7" t="str">
        <f t="shared" si="19"/>
        <v/>
      </c>
    </row>
    <row r="556" spans="2:23" customFormat="1">
      <c r="B556" s="71"/>
      <c r="C556" s="71"/>
      <c r="D556" s="72"/>
      <c r="E556" s="12"/>
      <c r="F556" s="107"/>
      <c r="G556" s="11"/>
      <c r="H556" s="13"/>
      <c r="I556" s="14"/>
      <c r="J556" s="13"/>
      <c r="K556" s="10"/>
      <c r="L556" s="10"/>
      <c r="M556" s="7"/>
      <c r="N556" s="10"/>
      <c r="O556" s="1"/>
      <c r="P556" s="21"/>
      <c r="Q556" s="23" t="str">
        <f t="shared" si="18"/>
        <v/>
      </c>
      <c r="R556" s="7"/>
      <c r="S556" s="7"/>
      <c r="W556" s="7" t="str">
        <f t="shared" si="19"/>
        <v/>
      </c>
    </row>
    <row r="557" spans="2:23" customFormat="1">
      <c r="B557" s="71"/>
      <c r="C557" s="71"/>
      <c r="D557" s="72"/>
      <c r="E557" s="12"/>
      <c r="F557" s="107"/>
      <c r="G557" s="11"/>
      <c r="H557" s="13"/>
      <c r="I557" s="14"/>
      <c r="J557" s="13"/>
      <c r="K557" s="10"/>
      <c r="L557" s="10"/>
      <c r="M557" s="7"/>
      <c r="N557" s="10"/>
      <c r="O557" s="1"/>
      <c r="P557" s="21"/>
      <c r="Q557" s="23" t="str">
        <f t="shared" si="18"/>
        <v/>
      </c>
      <c r="R557" s="7"/>
      <c r="S557" s="7"/>
      <c r="W557" s="7" t="str">
        <f t="shared" si="19"/>
        <v/>
      </c>
    </row>
    <row r="558" spans="2:23" customFormat="1">
      <c r="B558" s="71"/>
      <c r="C558" s="71"/>
      <c r="D558" s="72"/>
      <c r="E558" s="12"/>
      <c r="F558" s="107"/>
      <c r="G558" s="11"/>
      <c r="H558" s="13"/>
      <c r="I558" s="14"/>
      <c r="J558" s="13"/>
      <c r="K558" s="10"/>
      <c r="L558" s="10"/>
      <c r="M558" s="7"/>
      <c r="N558" s="10"/>
      <c r="O558" s="1"/>
      <c r="P558" s="21"/>
      <c r="Q558" s="23" t="str">
        <f t="shared" si="18"/>
        <v/>
      </c>
      <c r="R558" s="7"/>
      <c r="S558" s="7"/>
      <c r="W558" s="7" t="str">
        <f t="shared" si="19"/>
        <v/>
      </c>
    </row>
    <row r="559" spans="2:23" customFormat="1">
      <c r="B559" s="71"/>
      <c r="C559" s="71"/>
      <c r="D559" s="72"/>
      <c r="E559" s="12"/>
      <c r="F559" s="107"/>
      <c r="G559" s="11"/>
      <c r="H559" s="13"/>
      <c r="I559" s="14"/>
      <c r="J559" s="13"/>
      <c r="K559" s="10"/>
      <c r="L559" s="10"/>
      <c r="M559" s="7"/>
      <c r="N559" s="10"/>
      <c r="O559" s="1"/>
      <c r="P559" s="21"/>
      <c r="Q559" s="23" t="str">
        <f t="shared" si="18"/>
        <v/>
      </c>
      <c r="R559" s="7"/>
      <c r="S559" s="7"/>
      <c r="W559" s="7" t="str">
        <f t="shared" si="19"/>
        <v/>
      </c>
    </row>
    <row r="560" spans="2:23" customFormat="1">
      <c r="B560" s="71"/>
      <c r="C560" s="71"/>
      <c r="D560" s="72"/>
      <c r="E560" s="12"/>
      <c r="F560" s="107"/>
      <c r="G560" s="11"/>
      <c r="H560" s="13"/>
      <c r="I560" s="14"/>
      <c r="J560" s="13"/>
      <c r="K560" s="10"/>
      <c r="L560" s="10"/>
      <c r="M560" s="7"/>
      <c r="N560" s="10"/>
      <c r="O560" s="1"/>
      <c r="P560" s="21"/>
      <c r="Q560" s="23" t="str">
        <f t="shared" si="18"/>
        <v/>
      </c>
      <c r="R560" s="7"/>
      <c r="S560" s="7"/>
      <c r="W560" s="7" t="str">
        <f t="shared" si="19"/>
        <v/>
      </c>
    </row>
    <row r="561" spans="2:23" customFormat="1">
      <c r="B561" s="71"/>
      <c r="C561" s="71"/>
      <c r="D561" s="72"/>
      <c r="E561" s="12"/>
      <c r="F561" s="107"/>
      <c r="G561" s="11"/>
      <c r="H561" s="13"/>
      <c r="I561" s="14"/>
      <c r="J561" s="13"/>
      <c r="K561" s="10"/>
      <c r="L561" s="10"/>
      <c r="M561" s="7"/>
      <c r="N561" s="10"/>
      <c r="O561" s="1"/>
      <c r="P561" s="21"/>
      <c r="Q561" s="23" t="str">
        <f t="shared" si="18"/>
        <v/>
      </c>
      <c r="R561" s="7"/>
      <c r="S561" s="7"/>
      <c r="W561" s="7" t="str">
        <f t="shared" si="19"/>
        <v/>
      </c>
    </row>
    <row r="562" spans="2:23" customFormat="1">
      <c r="B562" s="71"/>
      <c r="C562" s="71"/>
      <c r="D562" s="72"/>
      <c r="E562" s="12"/>
      <c r="F562" s="107"/>
      <c r="G562" s="11"/>
      <c r="H562" s="13"/>
      <c r="I562" s="14"/>
      <c r="J562" s="13"/>
      <c r="K562" s="10"/>
      <c r="L562" s="10"/>
      <c r="M562" s="7"/>
      <c r="N562" s="10"/>
      <c r="O562" s="1"/>
      <c r="P562" s="21"/>
      <c r="Q562" s="23" t="str">
        <f t="shared" si="18"/>
        <v/>
      </c>
      <c r="R562" s="7"/>
      <c r="S562" s="7"/>
      <c r="W562" s="7" t="str">
        <f t="shared" si="19"/>
        <v/>
      </c>
    </row>
    <row r="563" spans="2:23" customFormat="1">
      <c r="B563" s="71"/>
      <c r="C563" s="71"/>
      <c r="D563" s="72"/>
      <c r="E563" s="12"/>
      <c r="F563" s="107"/>
      <c r="G563" s="11"/>
      <c r="H563" s="13"/>
      <c r="I563" s="14"/>
      <c r="J563" s="13"/>
      <c r="K563" s="10"/>
      <c r="L563" s="10"/>
      <c r="M563" s="7"/>
      <c r="N563" s="10"/>
      <c r="O563" s="1"/>
      <c r="P563" s="21"/>
      <c r="Q563" s="23" t="str">
        <f t="shared" si="18"/>
        <v/>
      </c>
      <c r="R563" s="7"/>
      <c r="S563" s="7"/>
      <c r="W563" s="7" t="str">
        <f t="shared" si="19"/>
        <v/>
      </c>
    </row>
    <row r="564" spans="2:23" customFormat="1">
      <c r="B564" s="71"/>
      <c r="C564" s="71"/>
      <c r="D564" s="72"/>
      <c r="E564" s="12"/>
      <c r="F564" s="107"/>
      <c r="G564" s="11"/>
      <c r="H564" s="13"/>
      <c r="I564" s="14"/>
      <c r="J564" s="13"/>
      <c r="K564" s="10"/>
      <c r="L564" s="10"/>
      <c r="M564" s="7"/>
      <c r="N564" s="10"/>
      <c r="O564" s="1"/>
      <c r="P564" s="21"/>
      <c r="Q564" s="23" t="str">
        <f t="shared" si="18"/>
        <v/>
      </c>
      <c r="R564" s="7"/>
      <c r="S564" s="7"/>
      <c r="W564" s="7" t="str">
        <f t="shared" si="19"/>
        <v/>
      </c>
    </row>
    <row r="565" spans="2:23" customFormat="1">
      <c r="B565" s="71"/>
      <c r="C565" s="71"/>
      <c r="D565" s="72"/>
      <c r="E565" s="12"/>
      <c r="F565" s="107"/>
      <c r="G565" s="11"/>
      <c r="H565" s="13"/>
      <c r="I565" s="14"/>
      <c r="J565" s="13"/>
      <c r="K565" s="10"/>
      <c r="L565" s="10"/>
      <c r="M565" s="7"/>
      <c r="N565" s="10"/>
      <c r="O565" s="1"/>
      <c r="P565" s="21"/>
      <c r="Q565" s="23" t="str">
        <f t="shared" si="18"/>
        <v/>
      </c>
      <c r="R565" s="7"/>
      <c r="S565" s="7"/>
      <c r="W565" s="7" t="str">
        <f t="shared" si="19"/>
        <v/>
      </c>
    </row>
    <row r="566" spans="2:23" customFormat="1">
      <c r="B566" s="71"/>
      <c r="C566" s="71"/>
      <c r="D566" s="72"/>
      <c r="E566" s="12"/>
      <c r="F566" s="107"/>
      <c r="G566" s="11"/>
      <c r="H566" s="13"/>
      <c r="I566" s="14"/>
      <c r="J566" s="13"/>
      <c r="K566" s="10"/>
      <c r="L566" s="10"/>
      <c r="M566" s="7"/>
      <c r="N566" s="10"/>
      <c r="O566" s="1"/>
      <c r="P566" s="21"/>
      <c r="Q566" s="23" t="str">
        <f t="shared" si="18"/>
        <v/>
      </c>
      <c r="R566" s="7"/>
      <c r="S566" s="7"/>
      <c r="W566" s="7" t="str">
        <f t="shared" si="19"/>
        <v/>
      </c>
    </row>
    <row r="567" spans="2:23" customFormat="1">
      <c r="B567" s="71"/>
      <c r="C567" s="71"/>
      <c r="D567" s="72"/>
      <c r="E567" s="12"/>
      <c r="F567" s="107"/>
      <c r="G567" s="11"/>
      <c r="H567" s="13"/>
      <c r="I567" s="14"/>
      <c r="J567" s="13"/>
      <c r="K567" s="10"/>
      <c r="L567" s="10"/>
      <c r="M567" s="7"/>
      <c r="N567" s="10"/>
      <c r="O567" s="1"/>
      <c r="P567" s="21"/>
      <c r="Q567" s="23" t="str">
        <f t="shared" si="18"/>
        <v/>
      </c>
      <c r="R567" s="7"/>
      <c r="S567" s="7"/>
      <c r="W567" s="7" t="str">
        <f t="shared" si="19"/>
        <v/>
      </c>
    </row>
    <row r="568" spans="2:23" customFormat="1">
      <c r="B568" s="71"/>
      <c r="C568" s="71"/>
      <c r="D568" s="72"/>
      <c r="E568" s="12"/>
      <c r="F568" s="107"/>
      <c r="G568" s="11"/>
      <c r="H568" s="13"/>
      <c r="I568" s="14"/>
      <c r="J568" s="13"/>
      <c r="K568" s="10"/>
      <c r="L568" s="10"/>
      <c r="M568" s="7"/>
      <c r="N568" s="10"/>
      <c r="O568" s="1"/>
      <c r="P568" s="21"/>
      <c r="Q568" s="23" t="str">
        <f t="shared" si="18"/>
        <v/>
      </c>
      <c r="R568" s="7"/>
      <c r="S568" s="7"/>
      <c r="W568" s="7" t="str">
        <f t="shared" si="19"/>
        <v/>
      </c>
    </row>
    <row r="569" spans="2:23" customFormat="1">
      <c r="B569" s="71"/>
      <c r="C569" s="71"/>
      <c r="D569" s="72"/>
      <c r="E569" s="12"/>
      <c r="F569" s="107"/>
      <c r="G569" s="11"/>
      <c r="H569" s="13"/>
      <c r="I569" s="14"/>
      <c r="J569" s="13"/>
      <c r="K569" s="10"/>
      <c r="L569" s="10"/>
      <c r="M569" s="7"/>
      <c r="N569" s="10"/>
      <c r="O569" s="1"/>
      <c r="P569" s="21"/>
      <c r="Q569" s="23" t="str">
        <f t="shared" si="18"/>
        <v/>
      </c>
      <c r="R569" s="7"/>
      <c r="S569" s="7"/>
      <c r="W569" s="7" t="str">
        <f t="shared" si="19"/>
        <v/>
      </c>
    </row>
    <row r="570" spans="2:23" customFormat="1">
      <c r="B570" s="71"/>
      <c r="C570" s="71"/>
      <c r="D570" s="72"/>
      <c r="E570" s="12"/>
      <c r="F570" s="107"/>
      <c r="G570" s="11"/>
      <c r="H570" s="13"/>
      <c r="I570" s="14"/>
      <c r="J570" s="13"/>
      <c r="K570" s="10"/>
      <c r="L570" s="10"/>
      <c r="M570" s="7"/>
      <c r="N570" s="10"/>
      <c r="O570" s="1"/>
      <c r="P570" s="21"/>
      <c r="Q570" s="23" t="str">
        <f t="shared" si="18"/>
        <v/>
      </c>
      <c r="R570" s="7"/>
      <c r="S570" s="7"/>
      <c r="W570" s="7" t="str">
        <f t="shared" si="19"/>
        <v/>
      </c>
    </row>
    <row r="571" spans="2:23" customFormat="1">
      <c r="B571" s="71"/>
      <c r="C571" s="71"/>
      <c r="D571" s="72"/>
      <c r="E571" s="12"/>
      <c r="F571" s="107"/>
      <c r="G571" s="11"/>
      <c r="H571" s="13"/>
      <c r="I571" s="14"/>
      <c r="J571" s="13"/>
      <c r="K571" s="10"/>
      <c r="L571" s="10"/>
      <c r="M571" s="7"/>
      <c r="N571" s="10"/>
      <c r="O571" s="1"/>
      <c r="P571" s="21"/>
      <c r="Q571" s="23" t="str">
        <f t="shared" si="18"/>
        <v/>
      </c>
      <c r="R571" s="7"/>
      <c r="S571" s="7"/>
      <c r="W571" s="7" t="str">
        <f t="shared" si="19"/>
        <v/>
      </c>
    </row>
    <row r="572" spans="2:23" customFormat="1">
      <c r="B572" s="71"/>
      <c r="C572" s="71"/>
      <c r="D572" s="72"/>
      <c r="E572" s="12"/>
      <c r="F572" s="107"/>
      <c r="G572" s="11"/>
      <c r="H572" s="13"/>
      <c r="I572" s="14"/>
      <c r="J572" s="13"/>
      <c r="K572" s="10"/>
      <c r="L572" s="10"/>
      <c r="M572" s="7"/>
      <c r="N572" s="10"/>
      <c r="O572" s="1"/>
      <c r="P572" s="21"/>
      <c r="Q572" s="23" t="str">
        <f t="shared" si="18"/>
        <v/>
      </c>
      <c r="R572" s="7"/>
      <c r="S572" s="7"/>
      <c r="W572" s="7" t="str">
        <f t="shared" si="19"/>
        <v/>
      </c>
    </row>
    <row r="573" spans="2:23" customFormat="1">
      <c r="B573" s="71"/>
      <c r="C573" s="71"/>
      <c r="D573" s="72"/>
      <c r="E573" s="12"/>
      <c r="F573" s="107"/>
      <c r="G573" s="11"/>
      <c r="H573" s="13"/>
      <c r="I573" s="14"/>
      <c r="J573" s="13"/>
      <c r="K573" s="10"/>
      <c r="L573" s="10"/>
      <c r="M573" s="7"/>
      <c r="N573" s="10"/>
      <c r="O573" s="1"/>
      <c r="P573" s="21"/>
      <c r="Q573" s="23" t="str">
        <f t="shared" si="18"/>
        <v/>
      </c>
      <c r="R573" s="7"/>
      <c r="S573" s="7"/>
      <c r="W573" s="7" t="str">
        <f t="shared" si="19"/>
        <v/>
      </c>
    </row>
    <row r="574" spans="2:23" customFormat="1">
      <c r="B574" s="71"/>
      <c r="C574" s="71"/>
      <c r="D574" s="72"/>
      <c r="E574" s="12"/>
      <c r="F574" s="107"/>
      <c r="G574" s="11"/>
      <c r="H574" s="13"/>
      <c r="I574" s="14"/>
      <c r="J574" s="13"/>
      <c r="K574" s="10"/>
      <c r="L574" s="10"/>
      <c r="M574" s="7"/>
      <c r="N574" s="10"/>
      <c r="O574" s="1"/>
      <c r="P574" s="21"/>
      <c r="Q574" s="23" t="str">
        <f t="shared" si="18"/>
        <v/>
      </c>
      <c r="R574" s="7"/>
      <c r="S574" s="7"/>
      <c r="W574" s="7" t="str">
        <f t="shared" si="19"/>
        <v/>
      </c>
    </row>
    <row r="575" spans="2:23" customFormat="1">
      <c r="B575" s="71"/>
      <c r="C575" s="71"/>
      <c r="D575" s="72"/>
      <c r="E575" s="12"/>
      <c r="F575" s="107"/>
      <c r="G575" s="11"/>
      <c r="H575" s="13"/>
      <c r="I575" s="14"/>
      <c r="J575" s="13"/>
      <c r="K575" s="10"/>
      <c r="L575" s="10"/>
      <c r="M575" s="7"/>
      <c r="N575" s="10"/>
      <c r="O575" s="1"/>
      <c r="P575" s="21"/>
      <c r="Q575" s="23" t="str">
        <f t="shared" si="18"/>
        <v/>
      </c>
      <c r="R575" s="7"/>
      <c r="S575" s="7"/>
      <c r="W575" s="7" t="str">
        <f t="shared" si="19"/>
        <v/>
      </c>
    </row>
    <row r="576" spans="2:23" customFormat="1">
      <c r="B576" s="71"/>
      <c r="C576" s="71"/>
      <c r="D576" s="72"/>
      <c r="E576" s="12"/>
      <c r="F576" s="107"/>
      <c r="G576" s="11"/>
      <c r="H576" s="13"/>
      <c r="I576" s="14"/>
      <c r="J576" s="13"/>
      <c r="K576" s="10"/>
      <c r="L576" s="10"/>
      <c r="M576" s="7"/>
      <c r="N576" s="10"/>
      <c r="O576" s="1"/>
      <c r="P576" s="21"/>
      <c r="Q576" s="23" t="str">
        <f t="shared" si="18"/>
        <v/>
      </c>
      <c r="R576" s="7"/>
      <c r="S576" s="7"/>
      <c r="W576" s="7" t="str">
        <f t="shared" si="19"/>
        <v/>
      </c>
    </row>
    <row r="577" spans="2:23" customFormat="1">
      <c r="B577" s="71"/>
      <c r="C577" s="71"/>
      <c r="D577" s="72"/>
      <c r="E577" s="12"/>
      <c r="F577" s="107"/>
      <c r="G577" s="11"/>
      <c r="H577" s="13"/>
      <c r="I577" s="14"/>
      <c r="J577" s="13"/>
      <c r="K577" s="10"/>
      <c r="L577" s="10"/>
      <c r="M577" s="7"/>
      <c r="N577" s="10"/>
      <c r="O577" s="1"/>
      <c r="P577" s="21"/>
      <c r="Q577" s="23" t="str">
        <f t="shared" si="18"/>
        <v/>
      </c>
      <c r="R577" s="7"/>
      <c r="S577" s="7"/>
      <c r="W577" s="7" t="str">
        <f t="shared" si="19"/>
        <v/>
      </c>
    </row>
    <row r="578" spans="2:23" customFormat="1">
      <c r="B578" s="71"/>
      <c r="C578" s="71"/>
      <c r="D578" s="72"/>
      <c r="E578" s="12"/>
      <c r="F578" s="107"/>
      <c r="G578" s="11"/>
      <c r="H578" s="13"/>
      <c r="I578" s="14"/>
      <c r="J578" s="13"/>
      <c r="K578" s="10"/>
      <c r="L578" s="10"/>
      <c r="M578" s="7"/>
      <c r="N578" s="10"/>
      <c r="O578" s="1"/>
      <c r="P578" s="21"/>
      <c r="Q578" s="23" t="str">
        <f t="shared" si="18"/>
        <v/>
      </c>
      <c r="R578" s="7"/>
      <c r="S578" s="7"/>
      <c r="W578" s="7" t="str">
        <f t="shared" si="19"/>
        <v/>
      </c>
    </row>
    <row r="579" spans="2:23" customFormat="1">
      <c r="B579" s="71"/>
      <c r="C579" s="71"/>
      <c r="D579" s="72"/>
      <c r="E579" s="12"/>
      <c r="F579" s="107"/>
      <c r="G579" s="11"/>
      <c r="H579" s="13"/>
      <c r="I579" s="14"/>
      <c r="J579" s="13"/>
      <c r="K579" s="10"/>
      <c r="L579" s="10"/>
      <c r="M579" s="7"/>
      <c r="N579" s="10"/>
      <c r="O579" s="1"/>
      <c r="P579" s="21"/>
      <c r="Q579" s="23" t="str">
        <f t="shared" si="18"/>
        <v/>
      </c>
      <c r="R579" s="7"/>
      <c r="S579" s="7"/>
      <c r="W579" s="7" t="str">
        <f t="shared" si="19"/>
        <v/>
      </c>
    </row>
    <row r="580" spans="2:23" customFormat="1">
      <c r="B580" s="71"/>
      <c r="C580" s="71"/>
      <c r="D580" s="72"/>
      <c r="E580" s="12"/>
      <c r="F580" s="107"/>
      <c r="G580" s="11"/>
      <c r="H580" s="13"/>
      <c r="I580" s="14"/>
      <c r="J580" s="13"/>
      <c r="K580" s="10"/>
      <c r="L580" s="10"/>
      <c r="M580" s="7"/>
      <c r="N580" s="10"/>
      <c r="O580" s="1"/>
      <c r="P580" s="21"/>
      <c r="Q580" s="23" t="str">
        <f t="shared" si="18"/>
        <v/>
      </c>
      <c r="R580" s="7"/>
      <c r="S580" s="7"/>
      <c r="W580" s="7" t="str">
        <f t="shared" si="19"/>
        <v/>
      </c>
    </row>
    <row r="581" spans="2:23" customFormat="1">
      <c r="B581" s="71"/>
      <c r="C581" s="71"/>
      <c r="D581" s="72"/>
      <c r="E581" s="12"/>
      <c r="F581" s="107"/>
      <c r="G581" s="11"/>
      <c r="H581" s="13"/>
      <c r="I581" s="14"/>
      <c r="J581" s="13"/>
      <c r="K581" s="10"/>
      <c r="L581" s="10"/>
      <c r="M581" s="7"/>
      <c r="N581" s="10"/>
      <c r="O581" s="1"/>
      <c r="P581" s="21"/>
      <c r="Q581" s="23" t="str">
        <f t="shared" si="18"/>
        <v/>
      </c>
      <c r="R581" s="7"/>
      <c r="S581" s="7"/>
      <c r="W581" s="7" t="str">
        <f t="shared" si="19"/>
        <v/>
      </c>
    </row>
    <row r="582" spans="2:23" customFormat="1">
      <c r="B582" s="71"/>
      <c r="C582" s="71"/>
      <c r="D582" s="72"/>
      <c r="E582" s="12"/>
      <c r="F582" s="107"/>
      <c r="G582" s="11"/>
      <c r="H582" s="13"/>
      <c r="I582" s="14"/>
      <c r="J582" s="13"/>
      <c r="K582" s="10"/>
      <c r="L582" s="10"/>
      <c r="M582" s="7"/>
      <c r="N582" s="10"/>
      <c r="O582" s="1"/>
      <c r="P582" s="21"/>
      <c r="Q582" s="23" t="str">
        <f t="shared" si="18"/>
        <v/>
      </c>
      <c r="R582" s="7"/>
      <c r="S582" s="7"/>
      <c r="W582" s="7" t="str">
        <f t="shared" si="19"/>
        <v/>
      </c>
    </row>
    <row r="583" spans="2:23" customFormat="1">
      <c r="B583" s="71"/>
      <c r="C583" s="71"/>
      <c r="D583" s="72"/>
      <c r="E583" s="12"/>
      <c r="F583" s="107"/>
      <c r="G583" s="11"/>
      <c r="H583" s="13"/>
      <c r="I583" s="14"/>
      <c r="J583" s="13"/>
      <c r="K583" s="10"/>
      <c r="L583" s="10"/>
      <c r="M583" s="7"/>
      <c r="N583" s="10"/>
      <c r="O583" s="1"/>
      <c r="P583" s="21"/>
      <c r="Q583" s="23" t="str">
        <f t="shared" si="18"/>
        <v/>
      </c>
      <c r="R583" s="7"/>
      <c r="S583" s="7"/>
      <c r="W583" s="7" t="str">
        <f t="shared" si="19"/>
        <v/>
      </c>
    </row>
    <row r="584" spans="2:23" customFormat="1">
      <c r="B584" s="71"/>
      <c r="C584" s="71"/>
      <c r="D584" s="72"/>
      <c r="E584" s="12"/>
      <c r="F584" s="107"/>
      <c r="G584" s="11"/>
      <c r="H584" s="13"/>
      <c r="I584" s="14"/>
      <c r="J584" s="13"/>
      <c r="K584" s="10"/>
      <c r="L584" s="10"/>
      <c r="M584" s="7"/>
      <c r="N584" s="10"/>
      <c r="O584" s="1"/>
      <c r="P584" s="21"/>
      <c r="Q584" s="23" t="str">
        <f t="shared" si="18"/>
        <v/>
      </c>
      <c r="R584" s="7"/>
      <c r="S584" s="7"/>
      <c r="W584" s="7" t="str">
        <f t="shared" si="19"/>
        <v/>
      </c>
    </row>
    <row r="585" spans="2:23" customFormat="1">
      <c r="B585" s="71"/>
      <c r="C585" s="71"/>
      <c r="D585" s="72"/>
      <c r="E585" s="12"/>
      <c r="F585" s="107"/>
      <c r="G585" s="11"/>
      <c r="H585" s="13"/>
      <c r="I585" s="14"/>
      <c r="J585" s="13"/>
      <c r="K585" s="10"/>
      <c r="L585" s="10"/>
      <c r="M585" s="7"/>
      <c r="N585" s="10"/>
      <c r="O585" s="1"/>
      <c r="P585" s="21"/>
      <c r="Q585" s="23" t="str">
        <f t="shared" si="18"/>
        <v/>
      </c>
      <c r="R585" s="7"/>
      <c r="S585" s="7"/>
      <c r="W585" s="7" t="str">
        <f t="shared" si="19"/>
        <v/>
      </c>
    </row>
    <row r="586" spans="2:23" customFormat="1">
      <c r="B586" s="71"/>
      <c r="C586" s="71"/>
      <c r="D586" s="72"/>
      <c r="E586" s="12"/>
      <c r="F586" s="107"/>
      <c r="G586" s="11"/>
      <c r="H586" s="13"/>
      <c r="I586" s="14"/>
      <c r="J586" s="13"/>
      <c r="K586" s="10"/>
      <c r="L586" s="10"/>
      <c r="M586" s="7"/>
      <c r="N586" s="10"/>
      <c r="O586" s="1"/>
      <c r="P586" s="21"/>
      <c r="Q586" s="23" t="str">
        <f t="shared" si="18"/>
        <v/>
      </c>
      <c r="R586" s="7"/>
      <c r="S586" s="7"/>
      <c r="W586" s="7" t="str">
        <f t="shared" si="19"/>
        <v/>
      </c>
    </row>
    <row r="587" spans="2:23" customFormat="1">
      <c r="B587" s="71"/>
      <c r="C587" s="71"/>
      <c r="D587" s="72"/>
      <c r="E587" s="12"/>
      <c r="F587" s="107"/>
      <c r="G587" s="11"/>
      <c r="H587" s="13"/>
      <c r="I587" s="14"/>
      <c r="J587" s="13"/>
      <c r="K587" s="10"/>
      <c r="L587" s="10"/>
      <c r="M587" s="7"/>
      <c r="N587" s="10"/>
      <c r="O587" s="1"/>
      <c r="P587" s="21"/>
      <c r="Q587" s="23" t="str">
        <f t="shared" si="18"/>
        <v/>
      </c>
      <c r="R587" s="7"/>
      <c r="S587" s="7"/>
      <c r="W587" s="7" t="str">
        <f t="shared" si="19"/>
        <v/>
      </c>
    </row>
    <row r="588" spans="2:23" customFormat="1">
      <c r="B588" s="71"/>
      <c r="C588" s="71"/>
      <c r="D588" s="72"/>
      <c r="E588" s="12"/>
      <c r="F588" s="107"/>
      <c r="G588" s="11"/>
      <c r="H588" s="13"/>
      <c r="I588" s="14"/>
      <c r="J588" s="13"/>
      <c r="K588" s="10"/>
      <c r="L588" s="10"/>
      <c r="M588" s="7"/>
      <c r="N588" s="10"/>
      <c r="O588" s="1"/>
      <c r="P588" s="21"/>
      <c r="Q588" s="23" t="str">
        <f t="shared" si="18"/>
        <v/>
      </c>
      <c r="R588" s="7"/>
      <c r="S588" s="7"/>
      <c r="W588" s="7" t="str">
        <f t="shared" si="19"/>
        <v/>
      </c>
    </row>
    <row r="589" spans="2:23" customFormat="1">
      <c r="B589" s="71"/>
      <c r="C589" s="71"/>
      <c r="D589" s="72"/>
      <c r="E589" s="12"/>
      <c r="F589" s="107"/>
      <c r="G589" s="11"/>
      <c r="H589" s="13"/>
      <c r="I589" s="14"/>
      <c r="J589" s="13"/>
      <c r="K589" s="10"/>
      <c r="L589" s="10"/>
      <c r="M589" s="7"/>
      <c r="N589" s="10"/>
      <c r="O589" s="1"/>
      <c r="P589" s="21"/>
      <c r="Q589" s="23" t="str">
        <f t="shared" si="18"/>
        <v/>
      </c>
      <c r="R589" s="7"/>
      <c r="S589" s="7"/>
      <c r="W589" s="7" t="str">
        <f t="shared" si="19"/>
        <v/>
      </c>
    </row>
    <row r="590" spans="2:23" customFormat="1">
      <c r="B590" s="71"/>
      <c r="C590" s="71"/>
      <c r="D590" s="72"/>
      <c r="E590" s="12"/>
      <c r="F590" s="107"/>
      <c r="G590" s="11"/>
      <c r="H590" s="13"/>
      <c r="I590" s="14"/>
      <c r="J590" s="13"/>
      <c r="K590" s="10"/>
      <c r="L590" s="10"/>
      <c r="M590" s="7"/>
      <c r="N590" s="10"/>
      <c r="O590" s="1"/>
      <c r="P590" s="21"/>
      <c r="Q590" s="23" t="str">
        <f t="shared" si="18"/>
        <v/>
      </c>
      <c r="R590" s="7"/>
      <c r="S590" s="7"/>
      <c r="W590" s="7" t="str">
        <f t="shared" si="19"/>
        <v/>
      </c>
    </row>
    <row r="591" spans="2:23" customFormat="1">
      <c r="B591" s="71"/>
      <c r="C591" s="71"/>
      <c r="D591" s="72"/>
      <c r="E591" s="12"/>
      <c r="F591" s="107"/>
      <c r="G591" s="11"/>
      <c r="H591" s="13"/>
      <c r="I591" s="14"/>
      <c r="J591" s="13"/>
      <c r="K591" s="10"/>
      <c r="L591" s="10"/>
      <c r="M591" s="7"/>
      <c r="N591" s="10"/>
      <c r="O591" s="1"/>
      <c r="P591" s="21"/>
      <c r="Q591" s="23" t="str">
        <f t="shared" si="18"/>
        <v/>
      </c>
      <c r="R591" s="7"/>
      <c r="S591" s="7"/>
      <c r="W591" s="7" t="str">
        <f t="shared" si="19"/>
        <v/>
      </c>
    </row>
    <row r="592" spans="2:23" customFormat="1">
      <c r="B592" s="71"/>
      <c r="C592" s="71"/>
      <c r="D592" s="72"/>
      <c r="E592" s="12"/>
      <c r="F592" s="107"/>
      <c r="G592" s="11"/>
      <c r="H592" s="13"/>
      <c r="I592" s="14"/>
      <c r="J592" s="13"/>
      <c r="K592" s="10"/>
      <c r="L592" s="10"/>
      <c r="M592" s="7"/>
      <c r="N592" s="10"/>
      <c r="O592" s="1"/>
      <c r="P592" s="21"/>
      <c r="Q592" s="23" t="str">
        <f t="shared" si="18"/>
        <v/>
      </c>
      <c r="R592" s="7"/>
      <c r="S592" s="7"/>
      <c r="W592" s="7" t="str">
        <f t="shared" si="19"/>
        <v/>
      </c>
    </row>
    <row r="593" spans="2:23" customFormat="1">
      <c r="B593" s="71"/>
      <c r="C593" s="71"/>
      <c r="D593" s="72"/>
      <c r="E593" s="12"/>
      <c r="F593" s="107"/>
      <c r="G593" s="11"/>
      <c r="H593" s="13"/>
      <c r="I593" s="14"/>
      <c r="J593" s="13"/>
      <c r="K593" s="10"/>
      <c r="L593" s="10"/>
      <c r="M593" s="7"/>
      <c r="N593" s="10"/>
      <c r="O593" s="1"/>
      <c r="P593" s="21"/>
      <c r="Q593" s="23" t="str">
        <f t="shared" si="18"/>
        <v/>
      </c>
      <c r="R593" s="7"/>
      <c r="S593" s="7"/>
      <c r="W593" s="7" t="str">
        <f t="shared" si="19"/>
        <v/>
      </c>
    </row>
    <row r="594" spans="2:23" customFormat="1">
      <c r="B594" s="71"/>
      <c r="C594" s="71"/>
      <c r="D594" s="72"/>
      <c r="E594" s="12"/>
      <c r="F594" s="107"/>
      <c r="G594" s="11"/>
      <c r="H594" s="13"/>
      <c r="I594" s="14"/>
      <c r="J594" s="13"/>
      <c r="K594" s="10"/>
      <c r="L594" s="10"/>
      <c r="M594" s="7"/>
      <c r="N594" s="10"/>
      <c r="O594" s="1"/>
      <c r="P594" s="21"/>
      <c r="Q594" s="23" t="str">
        <f t="shared" si="18"/>
        <v/>
      </c>
      <c r="R594" s="7"/>
      <c r="S594" s="7"/>
      <c r="W594" s="7" t="str">
        <f t="shared" si="19"/>
        <v/>
      </c>
    </row>
    <row r="595" spans="2:23" customFormat="1">
      <c r="B595" s="71"/>
      <c r="C595" s="71"/>
      <c r="D595" s="72"/>
      <c r="E595" s="12"/>
      <c r="F595" s="107"/>
      <c r="G595" s="11"/>
      <c r="H595" s="13"/>
      <c r="I595" s="14"/>
      <c r="J595" s="13"/>
      <c r="K595" s="10"/>
      <c r="L595" s="10"/>
      <c r="M595" s="7"/>
      <c r="N595" s="10"/>
      <c r="O595" s="1"/>
      <c r="P595" s="21"/>
      <c r="Q595" s="23" t="str">
        <f t="shared" si="18"/>
        <v/>
      </c>
      <c r="R595" s="7"/>
      <c r="S595" s="7"/>
      <c r="W595" s="7" t="str">
        <f t="shared" si="19"/>
        <v/>
      </c>
    </row>
    <row r="596" spans="2:23" customFormat="1">
      <c r="B596" s="71"/>
      <c r="C596" s="71"/>
      <c r="D596" s="72"/>
      <c r="E596" s="12"/>
      <c r="F596" s="107"/>
      <c r="G596" s="11"/>
      <c r="H596" s="13"/>
      <c r="I596" s="14"/>
      <c r="J596" s="13"/>
      <c r="K596" s="10"/>
      <c r="L596" s="10"/>
      <c r="M596" s="7"/>
      <c r="N596" s="10"/>
      <c r="O596" s="1"/>
      <c r="P596" s="21"/>
      <c r="Q596" s="23" t="str">
        <f t="shared" si="18"/>
        <v/>
      </c>
      <c r="R596" s="7"/>
      <c r="S596" s="7"/>
      <c r="W596" s="7" t="str">
        <f t="shared" si="19"/>
        <v/>
      </c>
    </row>
    <row r="597" spans="2:23" customFormat="1">
      <c r="B597" s="71"/>
      <c r="C597" s="71"/>
      <c r="D597" s="72"/>
      <c r="E597" s="12"/>
      <c r="F597" s="107"/>
      <c r="G597" s="11"/>
      <c r="H597" s="13"/>
      <c r="I597" s="14"/>
      <c r="J597" s="13"/>
      <c r="K597" s="10"/>
      <c r="L597" s="10"/>
      <c r="M597" s="7"/>
      <c r="N597" s="10"/>
      <c r="O597" s="1"/>
      <c r="P597" s="21"/>
      <c r="Q597" s="23" t="str">
        <f t="shared" si="18"/>
        <v/>
      </c>
      <c r="R597" s="7"/>
      <c r="S597" s="7"/>
      <c r="W597" s="7" t="str">
        <f t="shared" si="19"/>
        <v/>
      </c>
    </row>
    <row r="598" spans="2:23" customFormat="1">
      <c r="B598" s="71"/>
      <c r="C598" s="71"/>
      <c r="D598" s="72"/>
      <c r="E598" s="12"/>
      <c r="F598" s="107"/>
      <c r="G598" s="11"/>
      <c r="H598" s="13"/>
      <c r="I598" s="14"/>
      <c r="J598" s="13"/>
      <c r="K598" s="10"/>
      <c r="L598" s="10"/>
      <c r="M598" s="7"/>
      <c r="N598" s="10"/>
      <c r="O598" s="1"/>
      <c r="P598" s="21"/>
      <c r="Q598" s="23" t="str">
        <f t="shared" si="18"/>
        <v/>
      </c>
      <c r="R598" s="7"/>
      <c r="S598" s="7"/>
      <c r="W598" s="7" t="str">
        <f t="shared" si="19"/>
        <v/>
      </c>
    </row>
    <row r="599" spans="2:23" customFormat="1">
      <c r="B599" s="71"/>
      <c r="C599" s="71"/>
      <c r="D599" s="72"/>
      <c r="E599" s="12"/>
      <c r="F599" s="107"/>
      <c r="G599" s="11"/>
      <c r="H599" s="13"/>
      <c r="I599" s="14"/>
      <c r="J599" s="13"/>
      <c r="K599" s="10"/>
      <c r="L599" s="10"/>
      <c r="M599" s="7"/>
      <c r="N599" s="10"/>
      <c r="O599" s="1"/>
      <c r="P599" s="21"/>
      <c r="Q599" s="23" t="str">
        <f t="shared" ref="Q599:Q662" si="20">IF(P599="Exemplary", "None; meets or exceeds all minimum requirements.",IF(P599="Strong", "Minor gaps in execution or periodic review; improvement needed.",IF(P599="Developing", "Partial compliance; gaps in documentation, roles, or execution.",IF(P599="Emerging", "Informal or incomplete implementation; missing formal documents or procedures.",IF(P599="Critical", "Control not initiated; no documentation or designation.","")))))</f>
        <v/>
      </c>
      <c r="R599" s="7"/>
      <c r="S599" s="7"/>
      <c r="W599" s="7" t="str">
        <f t="shared" si="19"/>
        <v/>
      </c>
    </row>
    <row r="600" spans="2:23" customFormat="1">
      <c r="B600" s="71"/>
      <c r="C600" s="71"/>
      <c r="D600" s="72"/>
      <c r="E600" s="12"/>
      <c r="F600" s="107"/>
      <c r="G600" s="11"/>
      <c r="H600" s="13"/>
      <c r="I600" s="14"/>
      <c r="J600" s="13"/>
      <c r="K600" s="10"/>
      <c r="L600" s="10"/>
      <c r="M600" s="7"/>
      <c r="N600" s="10"/>
      <c r="O600" s="1"/>
      <c r="P600" s="21"/>
      <c r="Q600" s="23" t="str">
        <f t="shared" si="20"/>
        <v/>
      </c>
      <c r="R600" s="7"/>
      <c r="S600" s="7"/>
      <c r="W600" s="7" t="str">
        <f t="shared" ref="W600:W663" si="21">IFERROR(VALUE(MID(P600,7,1)),"")</f>
        <v/>
      </c>
    </row>
    <row r="601" spans="2:23" customFormat="1">
      <c r="B601" s="71"/>
      <c r="C601" s="71"/>
      <c r="D601" s="72"/>
      <c r="E601" s="12"/>
      <c r="F601" s="107"/>
      <c r="G601" s="11"/>
      <c r="H601" s="13"/>
      <c r="I601" s="14"/>
      <c r="J601" s="13"/>
      <c r="K601" s="10"/>
      <c r="L601" s="10"/>
      <c r="M601" s="7"/>
      <c r="N601" s="10"/>
      <c r="O601" s="1"/>
      <c r="P601" s="21"/>
      <c r="Q601" s="23" t="str">
        <f t="shared" si="20"/>
        <v/>
      </c>
      <c r="R601" s="7"/>
      <c r="S601" s="7"/>
      <c r="W601" s="7" t="str">
        <f t="shared" si="21"/>
        <v/>
      </c>
    </row>
    <row r="602" spans="2:23" customFormat="1">
      <c r="B602" s="71"/>
      <c r="C602" s="71"/>
      <c r="D602" s="72"/>
      <c r="E602" s="12"/>
      <c r="F602" s="107"/>
      <c r="G602" s="11"/>
      <c r="H602" s="13"/>
      <c r="I602" s="14"/>
      <c r="J602" s="13"/>
      <c r="K602" s="10"/>
      <c r="L602" s="10"/>
      <c r="M602" s="7"/>
      <c r="N602" s="10"/>
      <c r="O602" s="1"/>
      <c r="P602" s="21"/>
      <c r="Q602" s="23" t="str">
        <f t="shared" si="20"/>
        <v/>
      </c>
      <c r="R602" s="7"/>
      <c r="S602" s="7"/>
      <c r="W602" s="7" t="str">
        <f t="shared" si="21"/>
        <v/>
      </c>
    </row>
    <row r="603" spans="2:23" customFormat="1">
      <c r="B603" s="71"/>
      <c r="C603" s="71"/>
      <c r="D603" s="72"/>
      <c r="E603" s="12"/>
      <c r="F603" s="107"/>
      <c r="G603" s="11"/>
      <c r="H603" s="13"/>
      <c r="I603" s="14"/>
      <c r="J603" s="13"/>
      <c r="K603" s="10"/>
      <c r="L603" s="10"/>
      <c r="M603" s="7"/>
      <c r="N603" s="10"/>
      <c r="O603" s="1"/>
      <c r="P603" s="21"/>
      <c r="Q603" s="23" t="str">
        <f t="shared" si="20"/>
        <v/>
      </c>
      <c r="R603" s="7"/>
      <c r="S603" s="7"/>
      <c r="W603" s="7" t="str">
        <f t="shared" si="21"/>
        <v/>
      </c>
    </row>
    <row r="604" spans="2:23" customFormat="1">
      <c r="B604" s="71"/>
      <c r="C604" s="71"/>
      <c r="D604" s="72"/>
      <c r="E604" s="12"/>
      <c r="F604" s="107"/>
      <c r="G604" s="11"/>
      <c r="H604" s="13"/>
      <c r="I604" s="14"/>
      <c r="J604" s="13"/>
      <c r="K604" s="10"/>
      <c r="L604" s="10"/>
      <c r="M604" s="7"/>
      <c r="N604" s="10"/>
      <c r="O604" s="1"/>
      <c r="P604" s="21"/>
      <c r="Q604" s="23" t="str">
        <f t="shared" si="20"/>
        <v/>
      </c>
      <c r="R604" s="7"/>
      <c r="S604" s="7"/>
      <c r="W604" s="7" t="str">
        <f t="shared" si="21"/>
        <v/>
      </c>
    </row>
    <row r="605" spans="2:23" customFormat="1">
      <c r="B605" s="71"/>
      <c r="C605" s="71"/>
      <c r="D605" s="72"/>
      <c r="E605" s="12"/>
      <c r="F605" s="107"/>
      <c r="G605" s="11"/>
      <c r="H605" s="13"/>
      <c r="I605" s="14"/>
      <c r="J605" s="13"/>
      <c r="K605" s="10"/>
      <c r="L605" s="10"/>
      <c r="M605" s="7"/>
      <c r="N605" s="10"/>
      <c r="O605" s="1"/>
      <c r="P605" s="21"/>
      <c r="Q605" s="23" t="str">
        <f t="shared" si="20"/>
        <v/>
      </c>
      <c r="R605" s="7"/>
      <c r="S605" s="7"/>
      <c r="W605" s="7" t="str">
        <f t="shared" si="21"/>
        <v/>
      </c>
    </row>
    <row r="606" spans="2:23" customFormat="1">
      <c r="B606" s="71"/>
      <c r="C606" s="71"/>
      <c r="D606" s="72"/>
      <c r="E606" s="12"/>
      <c r="F606" s="107"/>
      <c r="G606" s="11"/>
      <c r="H606" s="13"/>
      <c r="I606" s="14"/>
      <c r="J606" s="13"/>
      <c r="K606" s="10"/>
      <c r="L606" s="10"/>
      <c r="M606" s="7"/>
      <c r="N606" s="10"/>
      <c r="O606" s="1"/>
      <c r="P606" s="21"/>
      <c r="Q606" s="23" t="str">
        <f t="shared" si="20"/>
        <v/>
      </c>
      <c r="R606" s="7"/>
      <c r="S606" s="7"/>
      <c r="W606" s="7" t="str">
        <f t="shared" si="21"/>
        <v/>
      </c>
    </row>
    <row r="607" spans="2:23" customFormat="1">
      <c r="B607" s="71"/>
      <c r="C607" s="71"/>
      <c r="D607" s="72"/>
      <c r="E607" s="12"/>
      <c r="F607" s="107"/>
      <c r="G607" s="11"/>
      <c r="H607" s="13"/>
      <c r="I607" s="14"/>
      <c r="J607" s="13"/>
      <c r="K607" s="10"/>
      <c r="L607" s="10"/>
      <c r="M607" s="7"/>
      <c r="N607" s="10"/>
      <c r="O607" s="1"/>
      <c r="P607" s="21"/>
      <c r="Q607" s="23" t="str">
        <f t="shared" si="20"/>
        <v/>
      </c>
      <c r="R607" s="7"/>
      <c r="S607" s="7"/>
      <c r="W607" s="7" t="str">
        <f t="shared" si="21"/>
        <v/>
      </c>
    </row>
    <row r="608" spans="2:23" customFormat="1">
      <c r="B608" s="71"/>
      <c r="C608" s="71"/>
      <c r="D608" s="72"/>
      <c r="E608" s="12"/>
      <c r="F608" s="107"/>
      <c r="G608" s="11"/>
      <c r="H608" s="13"/>
      <c r="I608" s="14"/>
      <c r="J608" s="13"/>
      <c r="K608" s="10"/>
      <c r="L608" s="10"/>
      <c r="M608" s="7"/>
      <c r="N608" s="10"/>
      <c r="O608" s="1"/>
      <c r="P608" s="21"/>
      <c r="Q608" s="23" t="str">
        <f t="shared" si="20"/>
        <v/>
      </c>
      <c r="R608" s="7"/>
      <c r="S608" s="7"/>
      <c r="W608" s="7" t="str">
        <f t="shared" si="21"/>
        <v/>
      </c>
    </row>
    <row r="609" spans="2:23" customFormat="1">
      <c r="B609" s="71"/>
      <c r="C609" s="71"/>
      <c r="D609" s="72"/>
      <c r="E609" s="12"/>
      <c r="F609" s="107"/>
      <c r="G609" s="11"/>
      <c r="H609" s="13"/>
      <c r="I609" s="14"/>
      <c r="J609" s="13"/>
      <c r="K609" s="10"/>
      <c r="L609" s="10"/>
      <c r="M609" s="7"/>
      <c r="N609" s="10"/>
      <c r="O609" s="1"/>
      <c r="P609" s="21"/>
      <c r="Q609" s="23" t="str">
        <f t="shared" si="20"/>
        <v/>
      </c>
      <c r="R609" s="7"/>
      <c r="S609" s="7"/>
      <c r="W609" s="7" t="str">
        <f t="shared" si="21"/>
        <v/>
      </c>
    </row>
    <row r="610" spans="2:23" customFormat="1">
      <c r="B610" s="71"/>
      <c r="C610" s="71"/>
      <c r="D610" s="72"/>
      <c r="E610" s="12"/>
      <c r="F610" s="107"/>
      <c r="G610" s="11"/>
      <c r="H610" s="13"/>
      <c r="I610" s="14"/>
      <c r="J610" s="13"/>
      <c r="K610" s="10"/>
      <c r="L610" s="10"/>
      <c r="M610" s="7"/>
      <c r="N610" s="10"/>
      <c r="O610" s="1"/>
      <c r="P610" s="21"/>
      <c r="Q610" s="23" t="str">
        <f t="shared" si="20"/>
        <v/>
      </c>
      <c r="R610" s="7"/>
      <c r="S610" s="7"/>
      <c r="W610" s="7" t="str">
        <f t="shared" si="21"/>
        <v/>
      </c>
    </row>
    <row r="611" spans="2:23" customFormat="1">
      <c r="B611" s="71"/>
      <c r="C611" s="71"/>
      <c r="D611" s="72"/>
      <c r="E611" s="12"/>
      <c r="F611" s="107"/>
      <c r="G611" s="11"/>
      <c r="H611" s="13"/>
      <c r="I611" s="14"/>
      <c r="J611" s="13"/>
      <c r="K611" s="10"/>
      <c r="L611" s="10"/>
      <c r="M611" s="7"/>
      <c r="N611" s="10"/>
      <c r="O611" s="1"/>
      <c r="P611" s="21"/>
      <c r="Q611" s="23" t="str">
        <f t="shared" si="20"/>
        <v/>
      </c>
      <c r="R611" s="7"/>
      <c r="S611" s="7"/>
      <c r="W611" s="7" t="str">
        <f t="shared" si="21"/>
        <v/>
      </c>
    </row>
    <row r="612" spans="2:23" customFormat="1">
      <c r="B612" s="71"/>
      <c r="C612" s="71"/>
      <c r="D612" s="72"/>
      <c r="E612" s="12"/>
      <c r="F612" s="107"/>
      <c r="G612" s="11"/>
      <c r="H612" s="13"/>
      <c r="I612" s="14"/>
      <c r="J612" s="13"/>
      <c r="K612" s="10"/>
      <c r="L612" s="10"/>
      <c r="M612" s="7"/>
      <c r="N612" s="10"/>
      <c r="O612" s="1"/>
      <c r="P612" s="21"/>
      <c r="Q612" s="23" t="str">
        <f t="shared" si="20"/>
        <v/>
      </c>
      <c r="R612" s="7"/>
      <c r="S612" s="7"/>
      <c r="W612" s="7" t="str">
        <f t="shared" si="21"/>
        <v/>
      </c>
    </row>
    <row r="613" spans="2:23" customFormat="1">
      <c r="B613" s="71"/>
      <c r="C613" s="71"/>
      <c r="D613" s="72"/>
      <c r="E613" s="12"/>
      <c r="F613" s="107"/>
      <c r="G613" s="11"/>
      <c r="H613" s="13"/>
      <c r="I613" s="14"/>
      <c r="J613" s="13"/>
      <c r="K613" s="10"/>
      <c r="L613" s="10"/>
      <c r="M613" s="7"/>
      <c r="N613" s="10"/>
      <c r="O613" s="1"/>
      <c r="P613" s="21"/>
      <c r="Q613" s="23" t="str">
        <f t="shared" si="20"/>
        <v/>
      </c>
      <c r="R613" s="7"/>
      <c r="S613" s="7"/>
      <c r="W613" s="7" t="str">
        <f t="shared" si="21"/>
        <v/>
      </c>
    </row>
    <row r="614" spans="2:23" customFormat="1">
      <c r="B614" s="71"/>
      <c r="C614" s="71"/>
      <c r="D614" s="72"/>
      <c r="E614" s="12"/>
      <c r="F614" s="107"/>
      <c r="G614" s="11"/>
      <c r="H614" s="13"/>
      <c r="I614" s="14"/>
      <c r="J614" s="13"/>
      <c r="K614" s="10"/>
      <c r="L614" s="10"/>
      <c r="M614" s="7"/>
      <c r="N614" s="10"/>
      <c r="O614" s="1"/>
      <c r="P614" s="21"/>
      <c r="Q614" s="23" t="str">
        <f t="shared" si="20"/>
        <v/>
      </c>
      <c r="R614" s="7"/>
      <c r="S614" s="7"/>
      <c r="W614" s="7" t="str">
        <f t="shared" si="21"/>
        <v/>
      </c>
    </row>
    <row r="615" spans="2:23" customFormat="1">
      <c r="B615" s="71"/>
      <c r="C615" s="71"/>
      <c r="D615" s="72"/>
      <c r="E615" s="12"/>
      <c r="F615" s="107"/>
      <c r="G615" s="11"/>
      <c r="H615" s="13"/>
      <c r="I615" s="14"/>
      <c r="J615" s="13"/>
      <c r="K615" s="10"/>
      <c r="L615" s="10"/>
      <c r="M615" s="7"/>
      <c r="N615" s="10"/>
      <c r="O615" s="1"/>
      <c r="P615" s="21"/>
      <c r="Q615" s="23" t="str">
        <f t="shared" si="20"/>
        <v/>
      </c>
      <c r="R615" s="7"/>
      <c r="S615" s="7"/>
      <c r="W615" s="7" t="str">
        <f t="shared" si="21"/>
        <v/>
      </c>
    </row>
    <row r="616" spans="2:23" customFormat="1">
      <c r="B616" s="71"/>
      <c r="C616" s="71"/>
      <c r="D616" s="72"/>
      <c r="E616" s="12"/>
      <c r="F616" s="107"/>
      <c r="G616" s="11"/>
      <c r="H616" s="13"/>
      <c r="I616" s="14"/>
      <c r="J616" s="13"/>
      <c r="K616" s="10"/>
      <c r="L616" s="10"/>
      <c r="M616" s="7"/>
      <c r="N616" s="10"/>
      <c r="O616" s="1"/>
      <c r="P616" s="21"/>
      <c r="Q616" s="23" t="str">
        <f t="shared" si="20"/>
        <v/>
      </c>
      <c r="R616" s="7"/>
      <c r="S616" s="7"/>
      <c r="W616" s="7" t="str">
        <f t="shared" si="21"/>
        <v/>
      </c>
    </row>
    <row r="617" spans="2:23" customFormat="1">
      <c r="B617" s="71"/>
      <c r="C617" s="71"/>
      <c r="D617" s="72"/>
      <c r="E617" s="12"/>
      <c r="F617" s="107"/>
      <c r="G617" s="11"/>
      <c r="H617" s="13"/>
      <c r="I617" s="14"/>
      <c r="J617" s="13"/>
      <c r="K617" s="10"/>
      <c r="L617" s="10"/>
      <c r="M617" s="7"/>
      <c r="N617" s="10"/>
      <c r="O617" s="1"/>
      <c r="P617" s="21"/>
      <c r="Q617" s="23" t="str">
        <f t="shared" si="20"/>
        <v/>
      </c>
      <c r="R617" s="7"/>
      <c r="S617" s="7"/>
      <c r="W617" s="7" t="str">
        <f t="shared" si="21"/>
        <v/>
      </c>
    </row>
    <row r="618" spans="2:23" customFormat="1">
      <c r="B618" s="71"/>
      <c r="C618" s="71"/>
      <c r="D618" s="72"/>
      <c r="E618" s="12"/>
      <c r="F618" s="107"/>
      <c r="G618" s="11"/>
      <c r="H618" s="13"/>
      <c r="I618" s="14"/>
      <c r="J618" s="13"/>
      <c r="K618" s="10"/>
      <c r="L618" s="10"/>
      <c r="M618" s="7"/>
      <c r="N618" s="10"/>
      <c r="O618" s="1"/>
      <c r="P618" s="21"/>
      <c r="Q618" s="23" t="str">
        <f t="shared" si="20"/>
        <v/>
      </c>
      <c r="R618" s="7"/>
      <c r="S618" s="7"/>
      <c r="W618" s="7" t="str">
        <f t="shared" si="21"/>
        <v/>
      </c>
    </row>
    <row r="619" spans="2:23" customFormat="1">
      <c r="B619" s="71"/>
      <c r="C619" s="71"/>
      <c r="D619" s="72"/>
      <c r="E619" s="12"/>
      <c r="F619" s="107"/>
      <c r="G619" s="11"/>
      <c r="H619" s="13"/>
      <c r="I619" s="14"/>
      <c r="J619" s="13"/>
      <c r="K619" s="10"/>
      <c r="L619" s="10"/>
      <c r="M619" s="7"/>
      <c r="N619" s="10"/>
      <c r="O619" s="1"/>
      <c r="P619" s="21"/>
      <c r="Q619" s="23" t="str">
        <f t="shared" si="20"/>
        <v/>
      </c>
      <c r="R619" s="7"/>
      <c r="S619" s="7"/>
      <c r="W619" s="7" t="str">
        <f t="shared" si="21"/>
        <v/>
      </c>
    </row>
    <row r="620" spans="2:23" customFormat="1">
      <c r="B620" s="71"/>
      <c r="C620" s="71"/>
      <c r="D620" s="72"/>
      <c r="E620" s="12"/>
      <c r="F620" s="107"/>
      <c r="G620" s="11"/>
      <c r="H620" s="13"/>
      <c r="I620" s="14"/>
      <c r="J620" s="13"/>
      <c r="K620" s="10"/>
      <c r="L620" s="10"/>
      <c r="M620" s="7"/>
      <c r="N620" s="10"/>
      <c r="O620" s="1"/>
      <c r="P620" s="21"/>
      <c r="Q620" s="23" t="str">
        <f t="shared" si="20"/>
        <v/>
      </c>
      <c r="R620" s="7"/>
      <c r="S620" s="7"/>
      <c r="W620" s="7" t="str">
        <f t="shared" si="21"/>
        <v/>
      </c>
    </row>
    <row r="621" spans="2:23" customFormat="1">
      <c r="B621" s="71"/>
      <c r="C621" s="71"/>
      <c r="D621" s="72"/>
      <c r="E621" s="12"/>
      <c r="F621" s="107"/>
      <c r="G621" s="11"/>
      <c r="H621" s="13"/>
      <c r="I621" s="14"/>
      <c r="J621" s="13"/>
      <c r="K621" s="10"/>
      <c r="L621" s="10"/>
      <c r="M621" s="7"/>
      <c r="N621" s="10"/>
      <c r="O621" s="1"/>
      <c r="P621" s="21"/>
      <c r="Q621" s="23" t="str">
        <f t="shared" si="20"/>
        <v/>
      </c>
      <c r="R621" s="7"/>
      <c r="S621" s="7"/>
      <c r="W621" s="7" t="str">
        <f t="shared" si="21"/>
        <v/>
      </c>
    </row>
    <row r="622" spans="2:23" customFormat="1">
      <c r="B622" s="71"/>
      <c r="C622" s="71"/>
      <c r="D622" s="72"/>
      <c r="E622" s="12"/>
      <c r="F622" s="107"/>
      <c r="G622" s="11"/>
      <c r="H622" s="13"/>
      <c r="I622" s="14"/>
      <c r="J622" s="13"/>
      <c r="K622" s="10"/>
      <c r="L622" s="10"/>
      <c r="M622" s="7"/>
      <c r="N622" s="10"/>
      <c r="O622" s="1"/>
      <c r="P622" s="21"/>
      <c r="Q622" s="23" t="str">
        <f t="shared" si="20"/>
        <v/>
      </c>
      <c r="R622" s="7"/>
      <c r="S622" s="7"/>
      <c r="W622" s="7" t="str">
        <f t="shared" si="21"/>
        <v/>
      </c>
    </row>
    <row r="623" spans="2:23" customFormat="1">
      <c r="B623" s="71"/>
      <c r="C623" s="71"/>
      <c r="D623" s="72"/>
      <c r="E623" s="12"/>
      <c r="F623" s="107"/>
      <c r="G623" s="11"/>
      <c r="H623" s="13"/>
      <c r="I623" s="14"/>
      <c r="J623" s="13"/>
      <c r="K623" s="10"/>
      <c r="L623" s="10"/>
      <c r="M623" s="7"/>
      <c r="N623" s="10"/>
      <c r="O623" s="1"/>
      <c r="P623" s="21"/>
      <c r="Q623" s="23" t="str">
        <f t="shared" si="20"/>
        <v/>
      </c>
      <c r="R623" s="7"/>
      <c r="S623" s="7"/>
      <c r="W623" s="7" t="str">
        <f t="shared" si="21"/>
        <v/>
      </c>
    </row>
    <row r="624" spans="2:23" customFormat="1">
      <c r="B624" s="71"/>
      <c r="C624" s="71"/>
      <c r="D624" s="72"/>
      <c r="E624" s="12"/>
      <c r="F624" s="107"/>
      <c r="G624" s="11"/>
      <c r="H624" s="13"/>
      <c r="I624" s="14"/>
      <c r="J624" s="13"/>
      <c r="K624" s="10"/>
      <c r="L624" s="10"/>
      <c r="M624" s="7"/>
      <c r="N624" s="10"/>
      <c r="O624" s="1"/>
      <c r="P624" s="21"/>
      <c r="Q624" s="23" t="str">
        <f t="shared" si="20"/>
        <v/>
      </c>
      <c r="R624" s="7"/>
      <c r="S624" s="7"/>
      <c r="W624" s="7" t="str">
        <f t="shared" si="21"/>
        <v/>
      </c>
    </row>
    <row r="625" spans="2:23" customFormat="1">
      <c r="B625" s="71"/>
      <c r="C625" s="71"/>
      <c r="D625" s="72"/>
      <c r="E625" s="12"/>
      <c r="F625" s="107"/>
      <c r="G625" s="11"/>
      <c r="H625" s="13"/>
      <c r="I625" s="14"/>
      <c r="J625" s="13"/>
      <c r="K625" s="10"/>
      <c r="L625" s="10"/>
      <c r="M625" s="7"/>
      <c r="N625" s="10"/>
      <c r="O625" s="1"/>
      <c r="P625" s="21"/>
      <c r="Q625" s="23" t="str">
        <f t="shared" si="20"/>
        <v/>
      </c>
      <c r="R625" s="7"/>
      <c r="S625" s="7"/>
      <c r="W625" s="7" t="str">
        <f t="shared" si="21"/>
        <v/>
      </c>
    </row>
    <row r="626" spans="2:23" customFormat="1">
      <c r="B626" s="71"/>
      <c r="C626" s="71"/>
      <c r="D626" s="72"/>
      <c r="E626" s="12"/>
      <c r="F626" s="107"/>
      <c r="G626" s="11"/>
      <c r="H626" s="13"/>
      <c r="I626" s="14"/>
      <c r="J626" s="13"/>
      <c r="K626" s="10"/>
      <c r="L626" s="10"/>
      <c r="M626" s="7"/>
      <c r="N626" s="10"/>
      <c r="O626" s="1"/>
      <c r="P626" s="21"/>
      <c r="Q626" s="23" t="str">
        <f t="shared" si="20"/>
        <v/>
      </c>
      <c r="R626" s="7"/>
      <c r="S626" s="7"/>
      <c r="W626" s="7" t="str">
        <f t="shared" si="21"/>
        <v/>
      </c>
    </row>
    <row r="627" spans="2:23" customFormat="1">
      <c r="B627" s="71"/>
      <c r="C627" s="71"/>
      <c r="D627" s="72"/>
      <c r="E627" s="12"/>
      <c r="F627" s="107"/>
      <c r="G627" s="11"/>
      <c r="H627" s="13"/>
      <c r="I627" s="14"/>
      <c r="J627" s="13"/>
      <c r="K627" s="10"/>
      <c r="L627" s="10"/>
      <c r="M627" s="7"/>
      <c r="N627" s="10"/>
      <c r="O627" s="1"/>
      <c r="P627" s="21"/>
      <c r="Q627" s="23" t="str">
        <f t="shared" si="20"/>
        <v/>
      </c>
      <c r="R627" s="7"/>
      <c r="S627" s="7"/>
      <c r="W627" s="7" t="str">
        <f t="shared" si="21"/>
        <v/>
      </c>
    </row>
    <row r="628" spans="2:23" customFormat="1">
      <c r="B628" s="71"/>
      <c r="C628" s="71"/>
      <c r="D628" s="72"/>
      <c r="E628" s="12"/>
      <c r="F628" s="107"/>
      <c r="G628" s="11"/>
      <c r="H628" s="13"/>
      <c r="I628" s="14"/>
      <c r="J628" s="13"/>
      <c r="K628" s="10"/>
      <c r="L628" s="10"/>
      <c r="M628" s="7"/>
      <c r="N628" s="10"/>
      <c r="O628" s="1"/>
      <c r="P628" s="21"/>
      <c r="Q628" s="23" t="str">
        <f t="shared" si="20"/>
        <v/>
      </c>
      <c r="R628" s="7"/>
      <c r="S628" s="7"/>
      <c r="W628" s="7" t="str">
        <f t="shared" si="21"/>
        <v/>
      </c>
    </row>
    <row r="629" spans="2:23" customFormat="1">
      <c r="B629" s="71"/>
      <c r="C629" s="71"/>
      <c r="D629" s="72"/>
      <c r="E629" s="12"/>
      <c r="F629" s="107"/>
      <c r="G629" s="11"/>
      <c r="H629" s="13"/>
      <c r="I629" s="14"/>
      <c r="J629" s="13"/>
      <c r="K629" s="10"/>
      <c r="L629" s="10"/>
      <c r="M629" s="7"/>
      <c r="N629" s="10"/>
      <c r="O629" s="1"/>
      <c r="P629" s="21"/>
      <c r="Q629" s="23" t="str">
        <f t="shared" si="20"/>
        <v/>
      </c>
      <c r="R629" s="7"/>
      <c r="S629" s="7"/>
      <c r="W629" s="7" t="str">
        <f t="shared" si="21"/>
        <v/>
      </c>
    </row>
    <row r="630" spans="2:23" customFormat="1">
      <c r="B630" s="71"/>
      <c r="C630" s="71"/>
      <c r="D630" s="72"/>
      <c r="E630" s="12"/>
      <c r="F630" s="107"/>
      <c r="G630" s="11"/>
      <c r="H630" s="13"/>
      <c r="I630" s="14"/>
      <c r="J630" s="13"/>
      <c r="K630" s="10"/>
      <c r="L630" s="10"/>
      <c r="M630" s="7"/>
      <c r="N630" s="10"/>
      <c r="O630" s="1"/>
      <c r="P630" s="21"/>
      <c r="Q630" s="23" t="str">
        <f t="shared" si="20"/>
        <v/>
      </c>
      <c r="R630" s="7"/>
      <c r="S630" s="7"/>
      <c r="W630" s="7" t="str">
        <f t="shared" si="21"/>
        <v/>
      </c>
    </row>
    <row r="631" spans="2:23" customFormat="1">
      <c r="B631" s="71"/>
      <c r="C631" s="71"/>
      <c r="D631" s="72"/>
      <c r="E631" s="12"/>
      <c r="F631" s="107"/>
      <c r="G631" s="11"/>
      <c r="H631" s="13"/>
      <c r="I631" s="14"/>
      <c r="J631" s="13"/>
      <c r="K631" s="10"/>
      <c r="L631" s="10"/>
      <c r="M631" s="7"/>
      <c r="N631" s="10"/>
      <c r="O631" s="1"/>
      <c r="P631" s="21"/>
      <c r="Q631" s="23" t="str">
        <f t="shared" si="20"/>
        <v/>
      </c>
      <c r="R631" s="7"/>
      <c r="S631" s="7"/>
      <c r="W631" s="7" t="str">
        <f t="shared" si="21"/>
        <v/>
      </c>
    </row>
    <row r="632" spans="2:23" customFormat="1">
      <c r="B632" s="71"/>
      <c r="C632" s="71"/>
      <c r="D632" s="72"/>
      <c r="E632" s="12"/>
      <c r="F632" s="107"/>
      <c r="G632" s="11"/>
      <c r="H632" s="13"/>
      <c r="I632" s="14"/>
      <c r="J632" s="13"/>
      <c r="K632" s="10"/>
      <c r="L632" s="10"/>
      <c r="M632" s="7"/>
      <c r="N632" s="10"/>
      <c r="O632" s="1"/>
      <c r="P632" s="21"/>
      <c r="Q632" s="23" t="str">
        <f t="shared" si="20"/>
        <v/>
      </c>
      <c r="R632" s="7"/>
      <c r="S632" s="7"/>
      <c r="W632" s="7" t="str">
        <f t="shared" si="21"/>
        <v/>
      </c>
    </row>
    <row r="633" spans="2:23" customFormat="1">
      <c r="B633" s="71"/>
      <c r="C633" s="71"/>
      <c r="D633" s="72"/>
      <c r="E633" s="12"/>
      <c r="F633" s="107"/>
      <c r="G633" s="11"/>
      <c r="H633" s="13"/>
      <c r="I633" s="14"/>
      <c r="J633" s="13"/>
      <c r="K633" s="10"/>
      <c r="L633" s="10"/>
      <c r="M633" s="7"/>
      <c r="N633" s="10"/>
      <c r="O633" s="1"/>
      <c r="P633" s="21"/>
      <c r="Q633" s="23" t="str">
        <f t="shared" si="20"/>
        <v/>
      </c>
      <c r="R633" s="7"/>
      <c r="S633" s="7"/>
      <c r="W633" s="7" t="str">
        <f t="shared" si="21"/>
        <v/>
      </c>
    </row>
    <row r="634" spans="2:23" customFormat="1">
      <c r="B634" s="71"/>
      <c r="C634" s="71"/>
      <c r="D634" s="72"/>
      <c r="E634" s="12"/>
      <c r="F634" s="107"/>
      <c r="G634" s="11"/>
      <c r="H634" s="13"/>
      <c r="I634" s="14"/>
      <c r="J634" s="13"/>
      <c r="K634" s="10"/>
      <c r="L634" s="10"/>
      <c r="M634" s="7"/>
      <c r="N634" s="10"/>
      <c r="O634" s="1"/>
      <c r="P634" s="21"/>
      <c r="Q634" s="23" t="str">
        <f t="shared" si="20"/>
        <v/>
      </c>
      <c r="R634" s="7"/>
      <c r="S634" s="7"/>
      <c r="W634" s="7" t="str">
        <f t="shared" si="21"/>
        <v/>
      </c>
    </row>
    <row r="635" spans="2:23" customFormat="1">
      <c r="B635" s="71"/>
      <c r="C635" s="71"/>
      <c r="D635" s="72"/>
      <c r="E635" s="12"/>
      <c r="F635" s="107"/>
      <c r="G635" s="11"/>
      <c r="H635" s="13"/>
      <c r="I635" s="14"/>
      <c r="J635" s="13"/>
      <c r="K635" s="10"/>
      <c r="L635" s="10"/>
      <c r="M635" s="7"/>
      <c r="N635" s="10"/>
      <c r="O635" s="1"/>
      <c r="P635" s="21"/>
      <c r="Q635" s="23" t="str">
        <f t="shared" si="20"/>
        <v/>
      </c>
      <c r="R635" s="7"/>
      <c r="S635" s="7"/>
      <c r="W635" s="7" t="str">
        <f t="shared" si="21"/>
        <v/>
      </c>
    </row>
    <row r="636" spans="2:23" customFormat="1">
      <c r="B636" s="71"/>
      <c r="C636" s="71"/>
      <c r="D636" s="72"/>
      <c r="E636" s="12"/>
      <c r="F636" s="107"/>
      <c r="G636" s="11"/>
      <c r="H636" s="13"/>
      <c r="I636" s="14"/>
      <c r="J636" s="13"/>
      <c r="K636" s="10"/>
      <c r="L636" s="10"/>
      <c r="M636" s="7"/>
      <c r="N636" s="10"/>
      <c r="O636" s="1"/>
      <c r="P636" s="21"/>
      <c r="Q636" s="23" t="str">
        <f t="shared" si="20"/>
        <v/>
      </c>
      <c r="R636" s="7"/>
      <c r="S636" s="7"/>
      <c r="W636" s="7" t="str">
        <f t="shared" si="21"/>
        <v/>
      </c>
    </row>
    <row r="637" spans="2:23" customFormat="1">
      <c r="B637" s="71"/>
      <c r="C637" s="71"/>
      <c r="D637" s="72"/>
      <c r="E637" s="12"/>
      <c r="F637" s="107"/>
      <c r="G637" s="11"/>
      <c r="H637" s="13"/>
      <c r="I637" s="14"/>
      <c r="J637" s="13"/>
      <c r="K637" s="10"/>
      <c r="L637" s="10"/>
      <c r="M637" s="7"/>
      <c r="N637" s="10"/>
      <c r="O637" s="1"/>
      <c r="P637" s="21"/>
      <c r="Q637" s="23" t="str">
        <f t="shared" si="20"/>
        <v/>
      </c>
      <c r="R637" s="7"/>
      <c r="S637" s="7"/>
      <c r="W637" s="7" t="str">
        <f t="shared" si="21"/>
        <v/>
      </c>
    </row>
    <row r="638" spans="2:23" customFormat="1">
      <c r="B638" s="71"/>
      <c r="C638" s="71"/>
      <c r="D638" s="72"/>
      <c r="E638" s="12"/>
      <c r="F638" s="107"/>
      <c r="G638" s="11"/>
      <c r="H638" s="13"/>
      <c r="I638" s="14"/>
      <c r="J638" s="13"/>
      <c r="K638" s="10"/>
      <c r="L638" s="10"/>
      <c r="M638" s="7"/>
      <c r="N638" s="10"/>
      <c r="O638" s="1"/>
      <c r="P638" s="21"/>
      <c r="Q638" s="23" t="str">
        <f t="shared" si="20"/>
        <v/>
      </c>
      <c r="R638" s="7"/>
      <c r="S638" s="7"/>
      <c r="W638" s="7" t="str">
        <f t="shared" si="21"/>
        <v/>
      </c>
    </row>
    <row r="639" spans="2:23" customFormat="1">
      <c r="B639" s="71"/>
      <c r="C639" s="71"/>
      <c r="D639" s="72"/>
      <c r="E639" s="12"/>
      <c r="F639" s="107"/>
      <c r="G639" s="11"/>
      <c r="H639" s="13"/>
      <c r="I639" s="14"/>
      <c r="J639" s="13"/>
      <c r="K639" s="10"/>
      <c r="L639" s="10"/>
      <c r="M639" s="7"/>
      <c r="N639" s="10"/>
      <c r="O639" s="1"/>
      <c r="P639" s="21"/>
      <c r="Q639" s="23" t="str">
        <f t="shared" si="20"/>
        <v/>
      </c>
      <c r="R639" s="7"/>
      <c r="S639" s="7"/>
      <c r="W639" s="7" t="str">
        <f t="shared" si="21"/>
        <v/>
      </c>
    </row>
    <row r="640" spans="2:23" customFormat="1">
      <c r="B640" s="71"/>
      <c r="C640" s="71"/>
      <c r="D640" s="72"/>
      <c r="E640" s="12"/>
      <c r="F640" s="107"/>
      <c r="G640" s="11"/>
      <c r="H640" s="13"/>
      <c r="I640" s="14"/>
      <c r="J640" s="13"/>
      <c r="K640" s="10"/>
      <c r="L640" s="10"/>
      <c r="M640" s="7"/>
      <c r="N640" s="10"/>
      <c r="O640" s="1"/>
      <c r="P640" s="21"/>
      <c r="Q640" s="23" t="str">
        <f t="shared" si="20"/>
        <v/>
      </c>
      <c r="R640" s="7"/>
      <c r="S640" s="7"/>
      <c r="W640" s="7" t="str">
        <f t="shared" si="21"/>
        <v/>
      </c>
    </row>
    <row r="641" spans="2:23" customFormat="1">
      <c r="B641" s="71"/>
      <c r="C641" s="71"/>
      <c r="D641" s="72"/>
      <c r="E641" s="12"/>
      <c r="F641" s="107"/>
      <c r="G641" s="11"/>
      <c r="H641" s="13"/>
      <c r="I641" s="14"/>
      <c r="J641" s="13"/>
      <c r="K641" s="10"/>
      <c r="L641" s="10"/>
      <c r="M641" s="7"/>
      <c r="N641" s="10"/>
      <c r="O641" s="1"/>
      <c r="P641" s="21"/>
      <c r="Q641" s="23" t="str">
        <f t="shared" si="20"/>
        <v/>
      </c>
      <c r="R641" s="7"/>
      <c r="S641" s="7"/>
      <c r="W641" s="7" t="str">
        <f t="shared" si="21"/>
        <v/>
      </c>
    </row>
    <row r="642" spans="2:23" customFormat="1">
      <c r="B642" s="71"/>
      <c r="C642" s="71"/>
      <c r="D642" s="72"/>
      <c r="E642" s="12"/>
      <c r="F642" s="107"/>
      <c r="G642" s="11"/>
      <c r="H642" s="13"/>
      <c r="I642" s="14"/>
      <c r="J642" s="13"/>
      <c r="K642" s="10"/>
      <c r="L642" s="10"/>
      <c r="M642" s="7"/>
      <c r="N642" s="10"/>
      <c r="O642" s="1"/>
      <c r="P642" s="21"/>
      <c r="Q642" s="23" t="str">
        <f t="shared" si="20"/>
        <v/>
      </c>
      <c r="R642" s="7"/>
      <c r="S642" s="7"/>
      <c r="W642" s="7" t="str">
        <f t="shared" si="21"/>
        <v/>
      </c>
    </row>
    <row r="643" spans="2:23" customFormat="1">
      <c r="B643" s="71"/>
      <c r="C643" s="71"/>
      <c r="D643" s="72"/>
      <c r="E643" s="12"/>
      <c r="F643" s="107"/>
      <c r="G643" s="11"/>
      <c r="H643" s="13"/>
      <c r="I643" s="14"/>
      <c r="J643" s="13"/>
      <c r="K643" s="10"/>
      <c r="L643" s="10"/>
      <c r="M643" s="7"/>
      <c r="N643" s="10"/>
      <c r="O643" s="1"/>
      <c r="P643" s="21"/>
      <c r="Q643" s="23" t="str">
        <f t="shared" si="20"/>
        <v/>
      </c>
      <c r="R643" s="7"/>
      <c r="S643" s="7"/>
      <c r="W643" s="7" t="str">
        <f t="shared" si="21"/>
        <v/>
      </c>
    </row>
    <row r="644" spans="2:23" customFormat="1">
      <c r="B644" s="71"/>
      <c r="C644" s="71"/>
      <c r="D644" s="72"/>
      <c r="E644" s="12"/>
      <c r="F644" s="107"/>
      <c r="G644" s="11"/>
      <c r="H644" s="13"/>
      <c r="I644" s="14"/>
      <c r="J644" s="13"/>
      <c r="K644" s="10"/>
      <c r="L644" s="10"/>
      <c r="M644" s="7"/>
      <c r="N644" s="10"/>
      <c r="O644" s="1"/>
      <c r="P644" s="21"/>
      <c r="Q644" s="23" t="str">
        <f t="shared" si="20"/>
        <v/>
      </c>
      <c r="R644" s="7"/>
      <c r="S644" s="7"/>
      <c r="W644" s="7" t="str">
        <f t="shared" si="21"/>
        <v/>
      </c>
    </row>
    <row r="645" spans="2:23" customFormat="1">
      <c r="B645" s="71"/>
      <c r="C645" s="71"/>
      <c r="D645" s="72"/>
      <c r="E645" s="12"/>
      <c r="F645" s="107"/>
      <c r="G645" s="11"/>
      <c r="H645" s="13"/>
      <c r="I645" s="14"/>
      <c r="J645" s="13"/>
      <c r="K645" s="10"/>
      <c r="L645" s="10"/>
      <c r="M645" s="7"/>
      <c r="N645" s="10"/>
      <c r="O645" s="1"/>
      <c r="P645" s="21"/>
      <c r="Q645" s="23" t="str">
        <f t="shared" si="20"/>
        <v/>
      </c>
      <c r="R645" s="7"/>
      <c r="S645" s="7"/>
      <c r="W645" s="7" t="str">
        <f t="shared" si="21"/>
        <v/>
      </c>
    </row>
    <row r="646" spans="2:23" customFormat="1">
      <c r="B646" s="71"/>
      <c r="C646" s="71"/>
      <c r="D646" s="72"/>
      <c r="E646" s="12"/>
      <c r="F646" s="107"/>
      <c r="G646" s="11"/>
      <c r="H646" s="13"/>
      <c r="I646" s="14"/>
      <c r="J646" s="13"/>
      <c r="K646" s="10"/>
      <c r="L646" s="10"/>
      <c r="M646" s="7"/>
      <c r="N646" s="10"/>
      <c r="O646" s="1"/>
      <c r="P646" s="21"/>
      <c r="Q646" s="23" t="str">
        <f t="shared" si="20"/>
        <v/>
      </c>
      <c r="R646" s="7"/>
      <c r="S646" s="7"/>
      <c r="W646" s="7" t="str">
        <f t="shared" si="21"/>
        <v/>
      </c>
    </row>
    <row r="647" spans="2:23" customFormat="1">
      <c r="B647" s="71"/>
      <c r="C647" s="71"/>
      <c r="D647" s="72"/>
      <c r="E647" s="12"/>
      <c r="F647" s="107"/>
      <c r="G647" s="11"/>
      <c r="H647" s="13"/>
      <c r="I647" s="14"/>
      <c r="J647" s="13"/>
      <c r="K647" s="10"/>
      <c r="L647" s="10"/>
      <c r="M647" s="7"/>
      <c r="N647" s="10"/>
      <c r="O647" s="1"/>
      <c r="P647" s="21"/>
      <c r="Q647" s="23" t="str">
        <f t="shared" si="20"/>
        <v/>
      </c>
      <c r="R647" s="7"/>
      <c r="S647" s="7"/>
      <c r="W647" s="7" t="str">
        <f t="shared" si="21"/>
        <v/>
      </c>
    </row>
    <row r="648" spans="2:23" customFormat="1">
      <c r="B648" s="71"/>
      <c r="C648" s="71"/>
      <c r="D648" s="72"/>
      <c r="E648" s="12"/>
      <c r="F648" s="107"/>
      <c r="G648" s="11"/>
      <c r="H648" s="13"/>
      <c r="I648" s="14"/>
      <c r="J648" s="13"/>
      <c r="K648" s="10"/>
      <c r="L648" s="10"/>
      <c r="M648" s="7"/>
      <c r="N648" s="10"/>
      <c r="O648" s="1"/>
      <c r="P648" s="21"/>
      <c r="Q648" s="23" t="str">
        <f t="shared" si="20"/>
        <v/>
      </c>
      <c r="R648" s="7"/>
      <c r="S648" s="7"/>
      <c r="W648" s="7" t="str">
        <f t="shared" si="21"/>
        <v/>
      </c>
    </row>
    <row r="649" spans="2:23" customFormat="1">
      <c r="B649" s="71"/>
      <c r="C649" s="71"/>
      <c r="D649" s="72"/>
      <c r="E649" s="12"/>
      <c r="F649" s="107"/>
      <c r="G649" s="11"/>
      <c r="H649" s="13"/>
      <c r="I649" s="14"/>
      <c r="J649" s="13"/>
      <c r="K649" s="10"/>
      <c r="L649" s="10"/>
      <c r="M649" s="7"/>
      <c r="N649" s="10"/>
      <c r="O649" s="1"/>
      <c r="P649" s="21"/>
      <c r="Q649" s="23" t="str">
        <f t="shared" si="20"/>
        <v/>
      </c>
      <c r="R649" s="7"/>
      <c r="S649" s="7"/>
      <c r="W649" s="7" t="str">
        <f t="shared" si="21"/>
        <v/>
      </c>
    </row>
    <row r="650" spans="2:23" customFormat="1">
      <c r="B650" s="71"/>
      <c r="C650" s="71"/>
      <c r="D650" s="72"/>
      <c r="E650" s="12"/>
      <c r="F650" s="107"/>
      <c r="G650" s="11"/>
      <c r="H650" s="13"/>
      <c r="I650" s="14"/>
      <c r="J650" s="13"/>
      <c r="K650" s="10"/>
      <c r="L650" s="10"/>
      <c r="M650" s="7"/>
      <c r="N650" s="10"/>
      <c r="O650" s="1"/>
      <c r="P650" s="21"/>
      <c r="Q650" s="23" t="str">
        <f t="shared" si="20"/>
        <v/>
      </c>
      <c r="R650" s="7"/>
      <c r="S650" s="7"/>
      <c r="W650" s="7" t="str">
        <f t="shared" si="21"/>
        <v/>
      </c>
    </row>
    <row r="651" spans="2:23" customFormat="1">
      <c r="B651" s="71"/>
      <c r="C651" s="71"/>
      <c r="D651" s="72"/>
      <c r="E651" s="12"/>
      <c r="F651" s="107"/>
      <c r="G651" s="11"/>
      <c r="H651" s="13"/>
      <c r="I651" s="14"/>
      <c r="J651" s="13"/>
      <c r="K651" s="10"/>
      <c r="L651" s="10"/>
      <c r="M651" s="7"/>
      <c r="N651" s="10"/>
      <c r="O651" s="1"/>
      <c r="P651" s="21"/>
      <c r="Q651" s="23" t="str">
        <f t="shared" si="20"/>
        <v/>
      </c>
      <c r="R651" s="7"/>
      <c r="S651" s="7"/>
      <c r="W651" s="7" t="str">
        <f t="shared" si="21"/>
        <v/>
      </c>
    </row>
    <row r="652" spans="2:23" customFormat="1">
      <c r="B652" s="71"/>
      <c r="C652" s="71"/>
      <c r="D652" s="72"/>
      <c r="E652" s="12"/>
      <c r="F652" s="107"/>
      <c r="G652" s="11"/>
      <c r="H652" s="13"/>
      <c r="I652" s="14"/>
      <c r="J652" s="13"/>
      <c r="K652" s="10"/>
      <c r="L652" s="10"/>
      <c r="M652" s="7"/>
      <c r="N652" s="10"/>
      <c r="O652" s="1"/>
      <c r="P652" s="21"/>
      <c r="Q652" s="23" t="str">
        <f t="shared" si="20"/>
        <v/>
      </c>
      <c r="R652" s="7"/>
      <c r="S652" s="7"/>
      <c r="W652" s="7" t="str">
        <f t="shared" si="21"/>
        <v/>
      </c>
    </row>
    <row r="653" spans="2:23" customFormat="1">
      <c r="B653" s="71"/>
      <c r="C653" s="71"/>
      <c r="D653" s="72"/>
      <c r="E653" s="12"/>
      <c r="F653" s="107"/>
      <c r="G653" s="11"/>
      <c r="H653" s="13"/>
      <c r="I653" s="14"/>
      <c r="J653" s="13"/>
      <c r="K653" s="10"/>
      <c r="L653" s="10"/>
      <c r="M653" s="7"/>
      <c r="N653" s="10"/>
      <c r="O653" s="1"/>
      <c r="P653" s="21"/>
      <c r="Q653" s="23" t="str">
        <f t="shared" si="20"/>
        <v/>
      </c>
      <c r="R653" s="7"/>
      <c r="S653" s="7"/>
      <c r="W653" s="7" t="str">
        <f t="shared" si="21"/>
        <v/>
      </c>
    </row>
    <row r="654" spans="2:23" customFormat="1">
      <c r="B654" s="71"/>
      <c r="C654" s="71"/>
      <c r="D654" s="72"/>
      <c r="E654" s="12"/>
      <c r="F654" s="107"/>
      <c r="G654" s="11"/>
      <c r="H654" s="13"/>
      <c r="I654" s="14"/>
      <c r="J654" s="13"/>
      <c r="K654" s="10"/>
      <c r="L654" s="10"/>
      <c r="M654" s="7"/>
      <c r="N654" s="10"/>
      <c r="O654" s="1"/>
      <c r="P654" s="21"/>
      <c r="Q654" s="23" t="str">
        <f t="shared" si="20"/>
        <v/>
      </c>
      <c r="R654" s="7"/>
      <c r="S654" s="7"/>
      <c r="W654" s="7" t="str">
        <f t="shared" si="21"/>
        <v/>
      </c>
    </row>
    <row r="655" spans="2:23" customFormat="1">
      <c r="B655" s="71"/>
      <c r="C655" s="71"/>
      <c r="D655" s="72"/>
      <c r="E655" s="12"/>
      <c r="F655" s="107"/>
      <c r="G655" s="11"/>
      <c r="H655" s="13"/>
      <c r="I655" s="14"/>
      <c r="J655" s="13"/>
      <c r="K655" s="10"/>
      <c r="L655" s="10"/>
      <c r="M655" s="7"/>
      <c r="N655" s="10"/>
      <c r="O655" s="1"/>
      <c r="P655" s="21"/>
      <c r="Q655" s="23" t="str">
        <f t="shared" si="20"/>
        <v/>
      </c>
      <c r="R655" s="7"/>
      <c r="S655" s="7"/>
      <c r="W655" s="7" t="str">
        <f t="shared" si="21"/>
        <v/>
      </c>
    </row>
    <row r="656" spans="2:23" customFormat="1">
      <c r="B656" s="71"/>
      <c r="C656" s="71"/>
      <c r="D656" s="72"/>
      <c r="E656" s="12"/>
      <c r="F656" s="107"/>
      <c r="G656" s="11"/>
      <c r="H656" s="13"/>
      <c r="I656" s="14"/>
      <c r="J656" s="13"/>
      <c r="K656" s="10"/>
      <c r="L656" s="10"/>
      <c r="M656" s="7"/>
      <c r="N656" s="10"/>
      <c r="O656" s="1"/>
      <c r="P656" s="21"/>
      <c r="Q656" s="23" t="str">
        <f t="shared" si="20"/>
        <v/>
      </c>
      <c r="R656" s="7"/>
      <c r="S656" s="7"/>
      <c r="W656" s="7" t="str">
        <f t="shared" si="21"/>
        <v/>
      </c>
    </row>
    <row r="657" spans="2:23" customFormat="1">
      <c r="B657" s="71"/>
      <c r="C657" s="71"/>
      <c r="D657" s="72"/>
      <c r="E657" s="12"/>
      <c r="F657" s="107"/>
      <c r="G657" s="11"/>
      <c r="H657" s="13"/>
      <c r="I657" s="14"/>
      <c r="J657" s="13"/>
      <c r="K657" s="10"/>
      <c r="L657" s="10"/>
      <c r="M657" s="7"/>
      <c r="N657" s="10"/>
      <c r="O657" s="1"/>
      <c r="P657" s="21"/>
      <c r="Q657" s="23" t="str">
        <f t="shared" si="20"/>
        <v/>
      </c>
      <c r="R657" s="7"/>
      <c r="S657" s="7"/>
      <c r="W657" s="7" t="str">
        <f t="shared" si="21"/>
        <v/>
      </c>
    </row>
    <row r="658" spans="2:23" customFormat="1">
      <c r="B658" s="71"/>
      <c r="C658" s="71"/>
      <c r="D658" s="72"/>
      <c r="E658" s="12"/>
      <c r="F658" s="107"/>
      <c r="G658" s="11"/>
      <c r="H658" s="13"/>
      <c r="I658" s="14"/>
      <c r="J658" s="13"/>
      <c r="K658" s="10"/>
      <c r="L658" s="10"/>
      <c r="M658" s="7"/>
      <c r="N658" s="10"/>
      <c r="O658" s="1"/>
      <c r="P658" s="21"/>
      <c r="Q658" s="23" t="str">
        <f t="shared" si="20"/>
        <v/>
      </c>
      <c r="R658" s="7"/>
      <c r="S658" s="7"/>
      <c r="W658" s="7" t="str">
        <f t="shared" si="21"/>
        <v/>
      </c>
    </row>
    <row r="659" spans="2:23" customFormat="1">
      <c r="B659" s="71"/>
      <c r="C659" s="71"/>
      <c r="D659" s="72"/>
      <c r="E659" s="12"/>
      <c r="F659" s="107"/>
      <c r="G659" s="11"/>
      <c r="H659" s="13"/>
      <c r="I659" s="14"/>
      <c r="J659" s="13"/>
      <c r="K659" s="10"/>
      <c r="L659" s="10"/>
      <c r="M659" s="7"/>
      <c r="N659" s="10"/>
      <c r="O659" s="1"/>
      <c r="P659" s="21"/>
      <c r="Q659" s="23" t="str">
        <f t="shared" si="20"/>
        <v/>
      </c>
      <c r="R659" s="7"/>
      <c r="S659" s="7"/>
      <c r="W659" s="7" t="str">
        <f t="shared" si="21"/>
        <v/>
      </c>
    </row>
    <row r="660" spans="2:23" customFormat="1">
      <c r="B660" s="71"/>
      <c r="C660" s="71"/>
      <c r="D660" s="72"/>
      <c r="E660" s="12"/>
      <c r="F660" s="107"/>
      <c r="G660" s="11"/>
      <c r="H660" s="13"/>
      <c r="I660" s="14"/>
      <c r="J660" s="13"/>
      <c r="K660" s="10"/>
      <c r="L660" s="10"/>
      <c r="M660" s="7"/>
      <c r="N660" s="10"/>
      <c r="O660" s="1"/>
      <c r="P660" s="21"/>
      <c r="Q660" s="23" t="str">
        <f t="shared" si="20"/>
        <v/>
      </c>
      <c r="R660" s="7"/>
      <c r="S660" s="7"/>
      <c r="W660" s="7" t="str">
        <f t="shared" si="21"/>
        <v/>
      </c>
    </row>
    <row r="661" spans="2:23" customFormat="1">
      <c r="B661" s="71"/>
      <c r="C661" s="71"/>
      <c r="D661" s="72"/>
      <c r="E661" s="12"/>
      <c r="F661" s="107"/>
      <c r="G661" s="11"/>
      <c r="H661" s="13"/>
      <c r="I661" s="14"/>
      <c r="J661" s="13"/>
      <c r="K661" s="10"/>
      <c r="L661" s="10"/>
      <c r="M661" s="7"/>
      <c r="N661" s="10"/>
      <c r="O661" s="1"/>
      <c r="P661" s="21"/>
      <c r="Q661" s="23" t="str">
        <f t="shared" si="20"/>
        <v/>
      </c>
      <c r="R661" s="7"/>
      <c r="S661" s="7"/>
      <c r="W661" s="7" t="str">
        <f t="shared" si="21"/>
        <v/>
      </c>
    </row>
    <row r="662" spans="2:23" customFormat="1">
      <c r="B662" s="71"/>
      <c r="C662" s="71"/>
      <c r="D662" s="72"/>
      <c r="E662" s="12"/>
      <c r="F662" s="107"/>
      <c r="G662" s="11"/>
      <c r="H662" s="13"/>
      <c r="I662" s="14"/>
      <c r="J662" s="13"/>
      <c r="K662" s="10"/>
      <c r="L662" s="10"/>
      <c r="M662" s="7"/>
      <c r="N662" s="10"/>
      <c r="O662" s="1"/>
      <c r="P662" s="21"/>
      <c r="Q662" s="23" t="str">
        <f t="shared" si="20"/>
        <v/>
      </c>
      <c r="R662" s="7"/>
      <c r="S662" s="7"/>
      <c r="W662" s="7" t="str">
        <f t="shared" si="21"/>
        <v/>
      </c>
    </row>
    <row r="663" spans="2:23" customFormat="1">
      <c r="B663" s="71"/>
      <c r="C663" s="71"/>
      <c r="D663" s="72"/>
      <c r="E663" s="12"/>
      <c r="F663" s="107"/>
      <c r="G663" s="11"/>
      <c r="H663" s="13"/>
      <c r="I663" s="14"/>
      <c r="J663" s="13"/>
      <c r="K663" s="10"/>
      <c r="L663" s="10"/>
      <c r="M663" s="7"/>
      <c r="N663" s="10"/>
      <c r="O663" s="1"/>
      <c r="P663" s="21"/>
      <c r="Q663" s="23" t="str">
        <f t="shared" ref="Q663:Q726" si="22">IF(P663="Exemplary", "None; meets or exceeds all minimum requirements.",IF(P663="Strong", "Minor gaps in execution or periodic review; improvement needed.",IF(P663="Developing", "Partial compliance; gaps in documentation, roles, or execution.",IF(P663="Emerging", "Informal or incomplete implementation; missing formal documents or procedures.",IF(P663="Critical", "Control not initiated; no documentation or designation.","")))))</f>
        <v/>
      </c>
      <c r="R663" s="7"/>
      <c r="S663" s="7"/>
      <c r="W663" s="7" t="str">
        <f t="shared" si="21"/>
        <v/>
      </c>
    </row>
    <row r="664" spans="2:23" customFormat="1">
      <c r="B664" s="71"/>
      <c r="C664" s="71"/>
      <c r="D664" s="72"/>
      <c r="E664" s="12"/>
      <c r="F664" s="107"/>
      <c r="G664" s="11"/>
      <c r="H664" s="13"/>
      <c r="I664" s="14"/>
      <c r="J664" s="13"/>
      <c r="K664" s="10"/>
      <c r="L664" s="10"/>
      <c r="M664" s="7"/>
      <c r="N664" s="10"/>
      <c r="O664" s="1"/>
      <c r="P664" s="21"/>
      <c r="Q664" s="23" t="str">
        <f t="shared" si="22"/>
        <v/>
      </c>
      <c r="R664" s="7"/>
      <c r="S664" s="7"/>
      <c r="W664" s="7" t="str">
        <f t="shared" ref="W664:W727" si="23">IFERROR(VALUE(MID(P664,7,1)),"")</f>
        <v/>
      </c>
    </row>
    <row r="665" spans="2:23" customFormat="1">
      <c r="B665" s="71"/>
      <c r="C665" s="71"/>
      <c r="D665" s="72"/>
      <c r="E665" s="12"/>
      <c r="F665" s="107"/>
      <c r="G665" s="11"/>
      <c r="H665" s="13"/>
      <c r="I665" s="14"/>
      <c r="J665" s="13"/>
      <c r="K665" s="10"/>
      <c r="L665" s="10"/>
      <c r="M665" s="7"/>
      <c r="N665" s="10"/>
      <c r="O665" s="1"/>
      <c r="P665" s="21"/>
      <c r="Q665" s="23" t="str">
        <f t="shared" si="22"/>
        <v/>
      </c>
      <c r="R665" s="7"/>
      <c r="S665" s="7"/>
      <c r="W665" s="7" t="str">
        <f t="shared" si="23"/>
        <v/>
      </c>
    </row>
    <row r="666" spans="2:23" customFormat="1">
      <c r="B666" s="71"/>
      <c r="C666" s="71"/>
      <c r="D666" s="72"/>
      <c r="E666" s="12"/>
      <c r="F666" s="107"/>
      <c r="G666" s="11"/>
      <c r="H666" s="13"/>
      <c r="I666" s="14"/>
      <c r="J666" s="13"/>
      <c r="K666" s="10"/>
      <c r="L666" s="10"/>
      <c r="M666" s="7"/>
      <c r="N666" s="10"/>
      <c r="O666" s="1"/>
      <c r="P666" s="21"/>
      <c r="Q666" s="23" t="str">
        <f t="shared" si="22"/>
        <v/>
      </c>
      <c r="R666" s="7"/>
      <c r="S666" s="7"/>
      <c r="W666" s="7" t="str">
        <f t="shared" si="23"/>
        <v/>
      </c>
    </row>
    <row r="667" spans="2:23" customFormat="1">
      <c r="B667" s="71"/>
      <c r="C667" s="71"/>
      <c r="D667" s="72"/>
      <c r="E667" s="12"/>
      <c r="F667" s="107"/>
      <c r="G667" s="11"/>
      <c r="H667" s="13"/>
      <c r="I667" s="14"/>
      <c r="J667" s="13"/>
      <c r="K667" s="10"/>
      <c r="L667" s="10"/>
      <c r="M667" s="7"/>
      <c r="N667" s="10"/>
      <c r="O667" s="1"/>
      <c r="P667" s="21"/>
      <c r="Q667" s="23" t="str">
        <f t="shared" si="22"/>
        <v/>
      </c>
      <c r="R667" s="7"/>
      <c r="S667" s="7"/>
      <c r="W667" s="7" t="str">
        <f t="shared" si="23"/>
        <v/>
      </c>
    </row>
    <row r="668" spans="2:23" customFormat="1">
      <c r="B668" s="71"/>
      <c r="C668" s="71"/>
      <c r="D668" s="72"/>
      <c r="E668" s="12"/>
      <c r="F668" s="107"/>
      <c r="G668" s="11"/>
      <c r="H668" s="13"/>
      <c r="I668" s="14"/>
      <c r="J668" s="13"/>
      <c r="K668" s="10"/>
      <c r="L668" s="10"/>
      <c r="M668" s="7"/>
      <c r="N668" s="10"/>
      <c r="O668" s="1"/>
      <c r="P668" s="21"/>
      <c r="Q668" s="23" t="str">
        <f t="shared" si="22"/>
        <v/>
      </c>
      <c r="R668" s="7"/>
      <c r="S668" s="7"/>
      <c r="W668" s="7" t="str">
        <f t="shared" si="23"/>
        <v/>
      </c>
    </row>
    <row r="669" spans="2:23" customFormat="1">
      <c r="B669" s="71"/>
      <c r="C669" s="71"/>
      <c r="D669" s="72"/>
      <c r="E669" s="12"/>
      <c r="F669" s="107"/>
      <c r="G669" s="11"/>
      <c r="H669" s="13"/>
      <c r="I669" s="14"/>
      <c r="J669" s="13"/>
      <c r="K669" s="10"/>
      <c r="L669" s="10"/>
      <c r="M669" s="7"/>
      <c r="N669" s="10"/>
      <c r="O669" s="1"/>
      <c r="P669" s="21"/>
      <c r="Q669" s="23" t="str">
        <f t="shared" si="22"/>
        <v/>
      </c>
      <c r="R669" s="7"/>
      <c r="S669" s="7"/>
      <c r="W669" s="7" t="str">
        <f t="shared" si="23"/>
        <v/>
      </c>
    </row>
    <row r="670" spans="2:23" customFormat="1">
      <c r="B670" s="71"/>
      <c r="C670" s="71"/>
      <c r="D670" s="72"/>
      <c r="E670" s="12"/>
      <c r="F670" s="107"/>
      <c r="G670" s="11"/>
      <c r="H670" s="13"/>
      <c r="I670" s="14"/>
      <c r="J670" s="13"/>
      <c r="K670" s="10"/>
      <c r="L670" s="10"/>
      <c r="M670" s="7"/>
      <c r="N670" s="10"/>
      <c r="O670" s="1"/>
      <c r="P670" s="21"/>
      <c r="Q670" s="23" t="str">
        <f t="shared" si="22"/>
        <v/>
      </c>
      <c r="R670" s="7"/>
      <c r="S670" s="7"/>
      <c r="W670" s="7" t="str">
        <f t="shared" si="23"/>
        <v/>
      </c>
    </row>
    <row r="671" spans="2:23" customFormat="1">
      <c r="B671" s="71"/>
      <c r="C671" s="71"/>
      <c r="D671" s="72"/>
      <c r="E671" s="12"/>
      <c r="F671" s="107"/>
      <c r="G671" s="11"/>
      <c r="H671" s="13"/>
      <c r="I671" s="14"/>
      <c r="J671" s="13"/>
      <c r="K671" s="10"/>
      <c r="L671" s="10"/>
      <c r="M671" s="7"/>
      <c r="N671" s="10"/>
      <c r="O671" s="1"/>
      <c r="P671" s="21"/>
      <c r="Q671" s="23" t="str">
        <f t="shared" si="22"/>
        <v/>
      </c>
      <c r="R671" s="7"/>
      <c r="S671" s="7"/>
      <c r="W671" s="7" t="str">
        <f t="shared" si="23"/>
        <v/>
      </c>
    </row>
    <row r="672" spans="2:23" customFormat="1">
      <c r="B672" s="71"/>
      <c r="C672" s="71"/>
      <c r="D672" s="72"/>
      <c r="E672" s="12"/>
      <c r="F672" s="107"/>
      <c r="G672" s="11"/>
      <c r="H672" s="13"/>
      <c r="I672" s="14"/>
      <c r="J672" s="13"/>
      <c r="K672" s="10"/>
      <c r="L672" s="10"/>
      <c r="M672" s="7"/>
      <c r="N672" s="10"/>
      <c r="O672" s="1"/>
      <c r="P672" s="21"/>
      <c r="Q672" s="23" t="str">
        <f t="shared" si="22"/>
        <v/>
      </c>
      <c r="R672" s="7"/>
      <c r="S672" s="7"/>
      <c r="W672" s="7" t="str">
        <f t="shared" si="23"/>
        <v/>
      </c>
    </row>
    <row r="673" spans="2:23" customFormat="1">
      <c r="B673" s="71"/>
      <c r="C673" s="71"/>
      <c r="D673" s="72"/>
      <c r="E673" s="12"/>
      <c r="F673" s="107"/>
      <c r="G673" s="11"/>
      <c r="H673" s="13"/>
      <c r="I673" s="14"/>
      <c r="J673" s="13"/>
      <c r="K673" s="10"/>
      <c r="L673" s="10"/>
      <c r="M673" s="7"/>
      <c r="N673" s="10"/>
      <c r="O673" s="1"/>
      <c r="P673" s="21"/>
      <c r="Q673" s="23" t="str">
        <f t="shared" si="22"/>
        <v/>
      </c>
      <c r="R673" s="7"/>
      <c r="S673" s="7"/>
      <c r="W673" s="7" t="str">
        <f t="shared" si="23"/>
        <v/>
      </c>
    </row>
    <row r="674" spans="2:23" customFormat="1">
      <c r="B674" s="71"/>
      <c r="C674" s="71"/>
      <c r="D674" s="72"/>
      <c r="E674" s="12"/>
      <c r="F674" s="107"/>
      <c r="G674" s="11"/>
      <c r="H674" s="13"/>
      <c r="I674" s="14"/>
      <c r="J674" s="13"/>
      <c r="K674" s="10"/>
      <c r="L674" s="10"/>
      <c r="M674" s="7"/>
      <c r="N674" s="10"/>
      <c r="O674" s="1"/>
      <c r="P674" s="21"/>
      <c r="Q674" s="23" t="str">
        <f t="shared" si="22"/>
        <v/>
      </c>
      <c r="R674" s="7"/>
      <c r="S674" s="7"/>
      <c r="W674" s="7" t="str">
        <f t="shared" si="23"/>
        <v/>
      </c>
    </row>
    <row r="675" spans="2:23" customFormat="1">
      <c r="B675" s="71"/>
      <c r="C675" s="71"/>
      <c r="D675" s="72"/>
      <c r="E675" s="12"/>
      <c r="F675" s="107"/>
      <c r="G675" s="11"/>
      <c r="H675" s="13"/>
      <c r="I675" s="14"/>
      <c r="J675" s="13"/>
      <c r="K675" s="10"/>
      <c r="L675" s="10"/>
      <c r="M675" s="7"/>
      <c r="N675" s="10"/>
      <c r="O675" s="1"/>
      <c r="P675" s="21"/>
      <c r="Q675" s="23" t="str">
        <f t="shared" si="22"/>
        <v/>
      </c>
      <c r="R675" s="7"/>
      <c r="S675" s="7"/>
      <c r="W675" s="7" t="str">
        <f t="shared" si="23"/>
        <v/>
      </c>
    </row>
    <row r="676" spans="2:23" customFormat="1">
      <c r="B676" s="71"/>
      <c r="C676" s="71"/>
      <c r="D676" s="72"/>
      <c r="E676" s="12"/>
      <c r="F676" s="107"/>
      <c r="G676" s="11"/>
      <c r="H676" s="13"/>
      <c r="I676" s="14"/>
      <c r="J676" s="13"/>
      <c r="K676" s="10"/>
      <c r="L676" s="10"/>
      <c r="M676" s="7"/>
      <c r="N676" s="10"/>
      <c r="O676" s="1"/>
      <c r="P676" s="21"/>
      <c r="Q676" s="23" t="str">
        <f t="shared" si="22"/>
        <v/>
      </c>
      <c r="R676" s="7"/>
      <c r="S676" s="7"/>
      <c r="W676" s="7" t="str">
        <f t="shared" si="23"/>
        <v/>
      </c>
    </row>
    <row r="677" spans="2:23" customFormat="1">
      <c r="B677" s="71"/>
      <c r="C677" s="71"/>
      <c r="D677" s="72"/>
      <c r="E677" s="12"/>
      <c r="F677" s="107"/>
      <c r="G677" s="11"/>
      <c r="H677" s="13"/>
      <c r="I677" s="14"/>
      <c r="J677" s="13"/>
      <c r="K677" s="10"/>
      <c r="L677" s="10"/>
      <c r="M677" s="7"/>
      <c r="N677" s="10"/>
      <c r="O677" s="1"/>
      <c r="P677" s="21"/>
      <c r="Q677" s="23" t="str">
        <f t="shared" si="22"/>
        <v/>
      </c>
      <c r="R677" s="7"/>
      <c r="S677" s="7"/>
      <c r="W677" s="7" t="str">
        <f t="shared" si="23"/>
        <v/>
      </c>
    </row>
    <row r="678" spans="2:23" customFormat="1">
      <c r="B678" s="71"/>
      <c r="C678" s="71"/>
      <c r="D678" s="72"/>
      <c r="E678" s="12"/>
      <c r="F678" s="107"/>
      <c r="G678" s="11"/>
      <c r="H678" s="13"/>
      <c r="I678" s="14"/>
      <c r="J678" s="13"/>
      <c r="K678" s="10"/>
      <c r="L678" s="10"/>
      <c r="M678" s="7"/>
      <c r="N678" s="10"/>
      <c r="O678" s="1"/>
      <c r="P678" s="21"/>
      <c r="Q678" s="23" t="str">
        <f t="shared" si="22"/>
        <v/>
      </c>
      <c r="R678" s="7"/>
      <c r="S678" s="7"/>
      <c r="W678" s="7" t="str">
        <f t="shared" si="23"/>
        <v/>
      </c>
    </row>
    <row r="679" spans="2:23" customFormat="1">
      <c r="B679" s="71"/>
      <c r="C679" s="71"/>
      <c r="D679" s="72"/>
      <c r="E679" s="12"/>
      <c r="F679" s="107"/>
      <c r="G679" s="11"/>
      <c r="H679" s="13"/>
      <c r="I679" s="14"/>
      <c r="J679" s="13"/>
      <c r="K679" s="10"/>
      <c r="L679" s="10"/>
      <c r="M679" s="7"/>
      <c r="N679" s="10"/>
      <c r="O679" s="1"/>
      <c r="P679" s="21"/>
      <c r="Q679" s="23" t="str">
        <f t="shared" si="22"/>
        <v/>
      </c>
      <c r="R679" s="7"/>
      <c r="S679" s="7"/>
      <c r="W679" s="7" t="str">
        <f t="shared" si="23"/>
        <v/>
      </c>
    </row>
    <row r="680" spans="2:23" customFormat="1">
      <c r="B680" s="71"/>
      <c r="C680" s="71"/>
      <c r="D680" s="72"/>
      <c r="E680" s="12"/>
      <c r="F680" s="107"/>
      <c r="G680" s="11"/>
      <c r="H680" s="13"/>
      <c r="I680" s="14"/>
      <c r="J680" s="13"/>
      <c r="K680" s="10"/>
      <c r="L680" s="10"/>
      <c r="M680" s="7"/>
      <c r="N680" s="10"/>
      <c r="O680" s="1"/>
      <c r="P680" s="21"/>
      <c r="Q680" s="23" t="str">
        <f t="shared" si="22"/>
        <v/>
      </c>
      <c r="R680" s="7"/>
      <c r="S680" s="7"/>
      <c r="W680" s="7" t="str">
        <f t="shared" si="23"/>
        <v/>
      </c>
    </row>
    <row r="681" spans="2:23" customFormat="1">
      <c r="B681" s="71"/>
      <c r="C681" s="71"/>
      <c r="D681" s="72"/>
      <c r="E681" s="12"/>
      <c r="F681" s="107"/>
      <c r="G681" s="11"/>
      <c r="H681" s="13"/>
      <c r="I681" s="14"/>
      <c r="J681" s="13"/>
      <c r="K681" s="10"/>
      <c r="L681" s="10"/>
      <c r="M681" s="7"/>
      <c r="N681" s="10"/>
      <c r="O681" s="1"/>
      <c r="P681" s="21"/>
      <c r="Q681" s="23" t="str">
        <f t="shared" si="22"/>
        <v/>
      </c>
      <c r="R681" s="7"/>
      <c r="S681" s="7"/>
      <c r="W681" s="7" t="str">
        <f t="shared" si="23"/>
        <v/>
      </c>
    </row>
    <row r="682" spans="2:23" customFormat="1">
      <c r="B682" s="71"/>
      <c r="C682" s="71"/>
      <c r="D682" s="72"/>
      <c r="E682" s="12"/>
      <c r="F682" s="107"/>
      <c r="G682" s="11"/>
      <c r="H682" s="13"/>
      <c r="I682" s="14"/>
      <c r="J682" s="13"/>
      <c r="K682" s="10"/>
      <c r="L682" s="10"/>
      <c r="M682" s="7"/>
      <c r="N682" s="10"/>
      <c r="O682" s="1"/>
      <c r="P682" s="21"/>
      <c r="Q682" s="23" t="str">
        <f t="shared" si="22"/>
        <v/>
      </c>
      <c r="R682" s="7"/>
      <c r="S682" s="7"/>
      <c r="W682" s="7" t="str">
        <f t="shared" si="23"/>
        <v/>
      </c>
    </row>
    <row r="683" spans="2:23" customFormat="1">
      <c r="B683" s="71"/>
      <c r="C683" s="71"/>
      <c r="D683" s="72"/>
      <c r="E683" s="12"/>
      <c r="F683" s="107"/>
      <c r="G683" s="11"/>
      <c r="H683" s="13"/>
      <c r="I683" s="14"/>
      <c r="J683" s="13"/>
      <c r="K683" s="10"/>
      <c r="L683" s="10"/>
      <c r="M683" s="7"/>
      <c r="N683" s="10"/>
      <c r="O683" s="1"/>
      <c r="P683" s="21"/>
      <c r="Q683" s="23" t="str">
        <f t="shared" si="22"/>
        <v/>
      </c>
      <c r="R683" s="7"/>
      <c r="S683" s="7"/>
      <c r="W683" s="7" t="str">
        <f t="shared" si="23"/>
        <v/>
      </c>
    </row>
    <row r="684" spans="2:23" customFormat="1">
      <c r="B684" s="71"/>
      <c r="C684" s="71"/>
      <c r="D684" s="72"/>
      <c r="E684" s="12"/>
      <c r="F684" s="107"/>
      <c r="G684" s="11"/>
      <c r="H684" s="13"/>
      <c r="I684" s="14"/>
      <c r="J684" s="13"/>
      <c r="K684" s="10"/>
      <c r="L684" s="10"/>
      <c r="M684" s="7"/>
      <c r="N684" s="10"/>
      <c r="O684" s="1"/>
      <c r="P684" s="21"/>
      <c r="Q684" s="23" t="str">
        <f t="shared" si="22"/>
        <v/>
      </c>
      <c r="R684" s="7"/>
      <c r="S684" s="7"/>
      <c r="W684" s="7" t="str">
        <f t="shared" si="23"/>
        <v/>
      </c>
    </row>
    <row r="685" spans="2:23" customFormat="1">
      <c r="B685" s="71"/>
      <c r="C685" s="71"/>
      <c r="D685" s="72"/>
      <c r="E685" s="12"/>
      <c r="F685" s="107"/>
      <c r="G685" s="11"/>
      <c r="H685" s="13"/>
      <c r="I685" s="14"/>
      <c r="J685" s="13"/>
      <c r="K685" s="10"/>
      <c r="L685" s="10"/>
      <c r="M685" s="7"/>
      <c r="N685" s="10"/>
      <c r="O685" s="1"/>
      <c r="P685" s="21"/>
      <c r="Q685" s="23" t="str">
        <f t="shared" si="22"/>
        <v/>
      </c>
      <c r="R685" s="7"/>
      <c r="S685" s="7"/>
      <c r="W685" s="7" t="str">
        <f t="shared" si="23"/>
        <v/>
      </c>
    </row>
    <row r="686" spans="2:23" customFormat="1">
      <c r="B686" s="71"/>
      <c r="C686" s="71"/>
      <c r="D686" s="72"/>
      <c r="E686" s="12"/>
      <c r="F686" s="107"/>
      <c r="G686" s="11"/>
      <c r="H686" s="13"/>
      <c r="I686" s="14"/>
      <c r="J686" s="13"/>
      <c r="K686" s="10"/>
      <c r="L686" s="10"/>
      <c r="M686" s="7"/>
      <c r="N686" s="10"/>
      <c r="O686" s="1"/>
      <c r="P686" s="21"/>
      <c r="Q686" s="23" t="str">
        <f t="shared" si="22"/>
        <v/>
      </c>
      <c r="R686" s="7"/>
      <c r="S686" s="7"/>
      <c r="W686" s="7" t="str">
        <f t="shared" si="23"/>
        <v/>
      </c>
    </row>
    <row r="687" spans="2:23" customFormat="1">
      <c r="B687" s="71"/>
      <c r="C687" s="71"/>
      <c r="D687" s="72"/>
      <c r="E687" s="12"/>
      <c r="F687" s="107"/>
      <c r="G687" s="11"/>
      <c r="H687" s="13"/>
      <c r="I687" s="14"/>
      <c r="J687" s="13"/>
      <c r="K687" s="10"/>
      <c r="L687" s="10"/>
      <c r="M687" s="7"/>
      <c r="N687" s="10"/>
      <c r="O687" s="1"/>
      <c r="P687" s="21"/>
      <c r="Q687" s="23" t="str">
        <f t="shared" si="22"/>
        <v/>
      </c>
      <c r="R687" s="7"/>
      <c r="S687" s="7"/>
      <c r="W687" s="7" t="str">
        <f t="shared" si="23"/>
        <v/>
      </c>
    </row>
    <row r="688" spans="2:23" customFormat="1">
      <c r="B688" s="71"/>
      <c r="C688" s="71"/>
      <c r="D688" s="72"/>
      <c r="E688" s="12"/>
      <c r="F688" s="107"/>
      <c r="G688" s="11"/>
      <c r="H688" s="13"/>
      <c r="I688" s="14"/>
      <c r="J688" s="13"/>
      <c r="K688" s="10"/>
      <c r="L688" s="10"/>
      <c r="M688" s="7"/>
      <c r="N688" s="10"/>
      <c r="O688" s="1"/>
      <c r="P688" s="21"/>
      <c r="Q688" s="23" t="str">
        <f t="shared" si="22"/>
        <v/>
      </c>
      <c r="R688" s="7"/>
      <c r="S688" s="7"/>
      <c r="W688" s="7" t="str">
        <f t="shared" si="23"/>
        <v/>
      </c>
    </row>
    <row r="689" spans="2:23" customFormat="1">
      <c r="B689" s="71"/>
      <c r="C689" s="71"/>
      <c r="D689" s="72"/>
      <c r="E689" s="12"/>
      <c r="F689" s="107"/>
      <c r="G689" s="11"/>
      <c r="H689" s="13"/>
      <c r="I689" s="14"/>
      <c r="J689" s="13"/>
      <c r="K689" s="10"/>
      <c r="L689" s="10"/>
      <c r="M689" s="7"/>
      <c r="N689" s="10"/>
      <c r="O689" s="1"/>
      <c r="P689" s="21"/>
      <c r="Q689" s="23" t="str">
        <f t="shared" si="22"/>
        <v/>
      </c>
      <c r="R689" s="7"/>
      <c r="S689" s="7"/>
      <c r="W689" s="7" t="str">
        <f t="shared" si="23"/>
        <v/>
      </c>
    </row>
    <row r="690" spans="2:23" customFormat="1">
      <c r="B690" s="71"/>
      <c r="C690" s="71"/>
      <c r="D690" s="72"/>
      <c r="E690" s="12"/>
      <c r="F690" s="107"/>
      <c r="G690" s="11"/>
      <c r="H690" s="13"/>
      <c r="I690" s="14"/>
      <c r="J690" s="13"/>
      <c r="K690" s="10"/>
      <c r="L690" s="10"/>
      <c r="M690" s="7"/>
      <c r="N690" s="10"/>
      <c r="O690" s="1"/>
      <c r="P690" s="21"/>
      <c r="Q690" s="23" t="str">
        <f t="shared" si="22"/>
        <v/>
      </c>
      <c r="R690" s="7"/>
      <c r="S690" s="7"/>
      <c r="W690" s="7" t="str">
        <f t="shared" si="23"/>
        <v/>
      </c>
    </row>
    <row r="691" spans="2:23" customFormat="1">
      <c r="B691" s="71"/>
      <c r="C691" s="71"/>
      <c r="D691" s="72"/>
      <c r="E691" s="12"/>
      <c r="F691" s="107"/>
      <c r="G691" s="11"/>
      <c r="H691" s="13"/>
      <c r="I691" s="14"/>
      <c r="J691" s="13"/>
      <c r="K691" s="10"/>
      <c r="L691" s="10"/>
      <c r="M691" s="7"/>
      <c r="N691" s="10"/>
      <c r="O691" s="1"/>
      <c r="P691" s="21"/>
      <c r="Q691" s="23" t="str">
        <f t="shared" si="22"/>
        <v/>
      </c>
      <c r="R691" s="7"/>
      <c r="S691" s="7"/>
      <c r="W691" s="7" t="str">
        <f t="shared" si="23"/>
        <v/>
      </c>
    </row>
    <row r="692" spans="2:23" customFormat="1">
      <c r="B692" s="71"/>
      <c r="C692" s="71"/>
      <c r="D692" s="72"/>
      <c r="E692" s="12"/>
      <c r="F692" s="107"/>
      <c r="G692" s="11"/>
      <c r="H692" s="13"/>
      <c r="I692" s="14"/>
      <c r="J692" s="13"/>
      <c r="K692" s="10"/>
      <c r="L692" s="10"/>
      <c r="M692" s="7"/>
      <c r="N692" s="10"/>
      <c r="O692" s="1"/>
      <c r="P692" s="21"/>
      <c r="Q692" s="23" t="str">
        <f t="shared" si="22"/>
        <v/>
      </c>
      <c r="R692" s="7"/>
      <c r="S692" s="7"/>
      <c r="W692" s="7" t="str">
        <f t="shared" si="23"/>
        <v/>
      </c>
    </row>
    <row r="693" spans="2:23" customFormat="1">
      <c r="B693" s="71"/>
      <c r="C693" s="71"/>
      <c r="D693" s="72"/>
      <c r="E693" s="12"/>
      <c r="F693" s="107"/>
      <c r="G693" s="11"/>
      <c r="H693" s="13"/>
      <c r="I693" s="14"/>
      <c r="J693" s="13"/>
      <c r="K693" s="10"/>
      <c r="L693" s="10"/>
      <c r="M693" s="7"/>
      <c r="N693" s="10"/>
      <c r="O693" s="1"/>
      <c r="P693" s="21"/>
      <c r="Q693" s="23" t="str">
        <f t="shared" si="22"/>
        <v/>
      </c>
      <c r="R693" s="7"/>
      <c r="S693" s="7"/>
      <c r="W693" s="7" t="str">
        <f t="shared" si="23"/>
        <v/>
      </c>
    </row>
    <row r="694" spans="2:23" customFormat="1">
      <c r="B694" s="71"/>
      <c r="C694" s="71"/>
      <c r="D694" s="72"/>
      <c r="E694" s="12"/>
      <c r="F694" s="107"/>
      <c r="G694" s="11"/>
      <c r="H694" s="13"/>
      <c r="I694" s="14"/>
      <c r="J694" s="13"/>
      <c r="K694" s="10"/>
      <c r="L694" s="10"/>
      <c r="M694" s="7"/>
      <c r="N694" s="10"/>
      <c r="O694" s="1"/>
      <c r="P694" s="21"/>
      <c r="Q694" s="23" t="str">
        <f t="shared" si="22"/>
        <v/>
      </c>
      <c r="R694" s="7"/>
      <c r="S694" s="7"/>
      <c r="W694" s="7" t="str">
        <f t="shared" si="23"/>
        <v/>
      </c>
    </row>
    <row r="695" spans="2:23" customFormat="1">
      <c r="B695" s="71"/>
      <c r="C695" s="71"/>
      <c r="D695" s="72"/>
      <c r="E695" s="12"/>
      <c r="F695" s="107"/>
      <c r="G695" s="11"/>
      <c r="H695" s="13"/>
      <c r="I695" s="14"/>
      <c r="J695" s="13"/>
      <c r="K695" s="10"/>
      <c r="L695" s="10"/>
      <c r="M695" s="7"/>
      <c r="N695" s="10"/>
      <c r="O695" s="1"/>
      <c r="P695" s="21"/>
      <c r="Q695" s="23" t="str">
        <f t="shared" si="22"/>
        <v/>
      </c>
      <c r="R695" s="7"/>
      <c r="S695" s="7"/>
      <c r="W695" s="7" t="str">
        <f t="shared" si="23"/>
        <v/>
      </c>
    </row>
    <row r="696" spans="2:23" customFormat="1">
      <c r="B696" s="71"/>
      <c r="C696" s="71"/>
      <c r="D696" s="72"/>
      <c r="E696" s="12"/>
      <c r="F696" s="107"/>
      <c r="G696" s="11"/>
      <c r="H696" s="13"/>
      <c r="I696" s="14"/>
      <c r="J696" s="13"/>
      <c r="K696" s="10"/>
      <c r="L696" s="10"/>
      <c r="M696" s="7"/>
      <c r="N696" s="10"/>
      <c r="O696" s="1"/>
      <c r="P696" s="21"/>
      <c r="Q696" s="23" t="str">
        <f t="shared" si="22"/>
        <v/>
      </c>
      <c r="R696" s="7"/>
      <c r="S696" s="7"/>
      <c r="W696" s="7" t="str">
        <f t="shared" si="23"/>
        <v/>
      </c>
    </row>
    <row r="697" spans="2:23" customFormat="1">
      <c r="B697" s="71"/>
      <c r="C697" s="71"/>
      <c r="D697" s="72"/>
      <c r="E697" s="12"/>
      <c r="F697" s="107"/>
      <c r="G697" s="11"/>
      <c r="H697" s="13"/>
      <c r="I697" s="14"/>
      <c r="J697" s="13"/>
      <c r="K697" s="10"/>
      <c r="L697" s="10"/>
      <c r="M697" s="7"/>
      <c r="N697" s="10"/>
      <c r="O697" s="1"/>
      <c r="P697" s="21"/>
      <c r="Q697" s="23" t="str">
        <f t="shared" si="22"/>
        <v/>
      </c>
      <c r="R697" s="7"/>
      <c r="S697" s="7"/>
      <c r="W697" s="7" t="str">
        <f t="shared" si="23"/>
        <v/>
      </c>
    </row>
    <row r="698" spans="2:23" customFormat="1">
      <c r="B698" s="71"/>
      <c r="C698" s="71"/>
      <c r="D698" s="72"/>
      <c r="E698" s="12"/>
      <c r="F698" s="107"/>
      <c r="G698" s="11"/>
      <c r="H698" s="13"/>
      <c r="I698" s="14"/>
      <c r="J698" s="13"/>
      <c r="K698" s="10"/>
      <c r="L698" s="10"/>
      <c r="M698" s="7"/>
      <c r="N698" s="10"/>
      <c r="O698" s="1"/>
      <c r="P698" s="21"/>
      <c r="Q698" s="23" t="str">
        <f t="shared" si="22"/>
        <v/>
      </c>
      <c r="R698" s="7"/>
      <c r="S698" s="7"/>
      <c r="W698" s="7" t="str">
        <f t="shared" si="23"/>
        <v/>
      </c>
    </row>
    <row r="699" spans="2:23" customFormat="1">
      <c r="B699" s="71"/>
      <c r="C699" s="71"/>
      <c r="D699" s="72"/>
      <c r="E699" s="12"/>
      <c r="F699" s="107"/>
      <c r="G699" s="11"/>
      <c r="H699" s="13"/>
      <c r="I699" s="14"/>
      <c r="J699" s="13"/>
      <c r="K699" s="10"/>
      <c r="L699" s="10"/>
      <c r="M699" s="7"/>
      <c r="N699" s="10"/>
      <c r="O699" s="1"/>
      <c r="P699" s="21"/>
      <c r="Q699" s="23" t="str">
        <f t="shared" si="22"/>
        <v/>
      </c>
      <c r="R699" s="7"/>
      <c r="S699" s="7"/>
      <c r="W699" s="7" t="str">
        <f t="shared" si="23"/>
        <v/>
      </c>
    </row>
    <row r="700" spans="2:23" customFormat="1">
      <c r="B700" s="71"/>
      <c r="C700" s="71"/>
      <c r="D700" s="72"/>
      <c r="E700" s="12"/>
      <c r="F700" s="107"/>
      <c r="G700" s="11"/>
      <c r="H700" s="13"/>
      <c r="I700" s="14"/>
      <c r="J700" s="13"/>
      <c r="K700" s="10"/>
      <c r="L700" s="10"/>
      <c r="M700" s="7"/>
      <c r="N700" s="10"/>
      <c r="O700" s="1"/>
      <c r="P700" s="21"/>
      <c r="Q700" s="23" t="str">
        <f t="shared" si="22"/>
        <v/>
      </c>
      <c r="R700" s="7"/>
      <c r="S700" s="7"/>
      <c r="W700" s="7" t="str">
        <f t="shared" si="23"/>
        <v/>
      </c>
    </row>
    <row r="701" spans="2:23" customFormat="1">
      <c r="B701" s="71"/>
      <c r="C701" s="71"/>
      <c r="D701" s="72"/>
      <c r="E701" s="12"/>
      <c r="F701" s="107"/>
      <c r="G701" s="11"/>
      <c r="H701" s="13"/>
      <c r="I701" s="14"/>
      <c r="J701" s="13"/>
      <c r="K701" s="10"/>
      <c r="L701" s="10"/>
      <c r="M701" s="7"/>
      <c r="N701" s="10"/>
      <c r="O701" s="1"/>
      <c r="P701" s="21"/>
      <c r="Q701" s="23" t="str">
        <f t="shared" si="22"/>
        <v/>
      </c>
      <c r="R701" s="7"/>
      <c r="S701" s="7"/>
      <c r="W701" s="7" t="str">
        <f t="shared" si="23"/>
        <v/>
      </c>
    </row>
    <row r="702" spans="2:23" customFormat="1">
      <c r="B702" s="71"/>
      <c r="C702" s="71"/>
      <c r="D702" s="72"/>
      <c r="E702" s="12"/>
      <c r="F702" s="107"/>
      <c r="G702" s="11"/>
      <c r="H702" s="13"/>
      <c r="I702" s="14"/>
      <c r="J702" s="13"/>
      <c r="K702" s="10"/>
      <c r="L702" s="10"/>
      <c r="M702" s="7"/>
      <c r="N702" s="10"/>
      <c r="O702" s="1"/>
      <c r="P702" s="21"/>
      <c r="Q702" s="23" t="str">
        <f t="shared" si="22"/>
        <v/>
      </c>
      <c r="R702" s="7"/>
      <c r="S702" s="7"/>
      <c r="W702" s="7" t="str">
        <f t="shared" si="23"/>
        <v/>
      </c>
    </row>
    <row r="703" spans="2:23" customFormat="1">
      <c r="B703" s="71"/>
      <c r="C703" s="71"/>
      <c r="D703" s="72"/>
      <c r="E703" s="12"/>
      <c r="F703" s="107"/>
      <c r="G703" s="11"/>
      <c r="H703" s="13"/>
      <c r="I703" s="14"/>
      <c r="J703" s="13"/>
      <c r="K703" s="10"/>
      <c r="L703" s="10"/>
      <c r="M703" s="7"/>
      <c r="N703" s="10"/>
      <c r="O703" s="1"/>
      <c r="P703" s="21"/>
      <c r="Q703" s="23" t="str">
        <f t="shared" si="22"/>
        <v/>
      </c>
      <c r="R703" s="7"/>
      <c r="S703" s="7"/>
      <c r="W703" s="7" t="str">
        <f t="shared" si="23"/>
        <v/>
      </c>
    </row>
    <row r="704" spans="2:23" customFormat="1">
      <c r="B704" s="71"/>
      <c r="C704" s="71"/>
      <c r="D704" s="72"/>
      <c r="E704" s="12"/>
      <c r="F704" s="107"/>
      <c r="G704" s="11"/>
      <c r="H704" s="13"/>
      <c r="I704" s="14"/>
      <c r="J704" s="13"/>
      <c r="K704" s="10"/>
      <c r="L704" s="10"/>
      <c r="M704" s="7"/>
      <c r="N704" s="10"/>
      <c r="O704" s="1"/>
      <c r="P704" s="21"/>
      <c r="Q704" s="23" t="str">
        <f t="shared" si="22"/>
        <v/>
      </c>
      <c r="R704" s="7"/>
      <c r="S704" s="7"/>
      <c r="W704" s="7" t="str">
        <f t="shared" si="23"/>
        <v/>
      </c>
    </row>
    <row r="705" spans="2:23" customFormat="1">
      <c r="B705" s="71"/>
      <c r="C705" s="71"/>
      <c r="D705" s="72"/>
      <c r="E705" s="12"/>
      <c r="F705" s="107"/>
      <c r="G705" s="11"/>
      <c r="H705" s="13"/>
      <c r="I705" s="14"/>
      <c r="J705" s="13"/>
      <c r="K705" s="10"/>
      <c r="L705" s="10"/>
      <c r="M705" s="7"/>
      <c r="N705" s="10"/>
      <c r="O705" s="1"/>
      <c r="P705" s="21"/>
      <c r="Q705" s="23" t="str">
        <f t="shared" si="22"/>
        <v/>
      </c>
      <c r="R705" s="7"/>
      <c r="S705" s="7"/>
      <c r="W705" s="7" t="str">
        <f t="shared" si="23"/>
        <v/>
      </c>
    </row>
    <row r="706" spans="2:23" customFormat="1">
      <c r="B706" s="71"/>
      <c r="C706" s="71"/>
      <c r="D706" s="72"/>
      <c r="E706" s="12"/>
      <c r="F706" s="107"/>
      <c r="G706" s="11"/>
      <c r="H706" s="13"/>
      <c r="I706" s="14"/>
      <c r="J706" s="13"/>
      <c r="K706" s="10"/>
      <c r="L706" s="10"/>
      <c r="M706" s="7"/>
      <c r="N706" s="10"/>
      <c r="O706" s="1"/>
      <c r="P706" s="21"/>
      <c r="Q706" s="23" t="str">
        <f t="shared" si="22"/>
        <v/>
      </c>
      <c r="R706" s="7"/>
      <c r="S706" s="7"/>
      <c r="W706" s="7" t="str">
        <f t="shared" si="23"/>
        <v/>
      </c>
    </row>
    <row r="707" spans="2:23" customFormat="1">
      <c r="B707" s="71"/>
      <c r="C707" s="71"/>
      <c r="D707" s="72"/>
      <c r="E707" s="12"/>
      <c r="F707" s="107"/>
      <c r="G707" s="11"/>
      <c r="H707" s="13"/>
      <c r="I707" s="14"/>
      <c r="J707" s="13"/>
      <c r="K707" s="10"/>
      <c r="L707" s="10"/>
      <c r="M707" s="7"/>
      <c r="N707" s="10"/>
      <c r="O707" s="1"/>
      <c r="P707" s="21"/>
      <c r="Q707" s="23" t="str">
        <f t="shared" si="22"/>
        <v/>
      </c>
      <c r="R707" s="7"/>
      <c r="S707" s="7"/>
      <c r="W707" s="7" t="str">
        <f t="shared" si="23"/>
        <v/>
      </c>
    </row>
    <row r="708" spans="2:23" customFormat="1">
      <c r="B708" s="71"/>
      <c r="C708" s="71"/>
      <c r="D708" s="72"/>
      <c r="E708" s="12"/>
      <c r="F708" s="107"/>
      <c r="G708" s="11"/>
      <c r="H708" s="13"/>
      <c r="I708" s="14"/>
      <c r="J708" s="13"/>
      <c r="K708" s="10"/>
      <c r="L708" s="10"/>
      <c r="M708" s="7"/>
      <c r="N708" s="10"/>
      <c r="O708" s="1"/>
      <c r="P708" s="21"/>
      <c r="Q708" s="23" t="str">
        <f t="shared" si="22"/>
        <v/>
      </c>
      <c r="R708" s="7"/>
      <c r="S708" s="7"/>
      <c r="W708" s="7" t="str">
        <f t="shared" si="23"/>
        <v/>
      </c>
    </row>
    <row r="709" spans="2:23" customFormat="1">
      <c r="B709" s="71"/>
      <c r="C709" s="71"/>
      <c r="D709" s="72"/>
      <c r="E709" s="12"/>
      <c r="F709" s="107"/>
      <c r="G709" s="11"/>
      <c r="H709" s="13"/>
      <c r="I709" s="14"/>
      <c r="J709" s="13"/>
      <c r="K709" s="10"/>
      <c r="L709" s="10"/>
      <c r="M709" s="7"/>
      <c r="N709" s="10"/>
      <c r="O709" s="1"/>
      <c r="P709" s="21"/>
      <c r="Q709" s="23" t="str">
        <f t="shared" si="22"/>
        <v/>
      </c>
      <c r="R709" s="7"/>
      <c r="S709" s="7"/>
      <c r="W709" s="7" t="str">
        <f t="shared" si="23"/>
        <v/>
      </c>
    </row>
    <row r="710" spans="2:23" customFormat="1">
      <c r="B710" s="71"/>
      <c r="C710" s="71"/>
      <c r="D710" s="72"/>
      <c r="E710" s="12"/>
      <c r="F710" s="107"/>
      <c r="G710" s="11"/>
      <c r="H710" s="13"/>
      <c r="I710" s="14"/>
      <c r="J710" s="13"/>
      <c r="K710" s="10"/>
      <c r="L710" s="10"/>
      <c r="M710" s="7"/>
      <c r="N710" s="10"/>
      <c r="O710" s="1"/>
      <c r="P710" s="21"/>
      <c r="Q710" s="23" t="str">
        <f t="shared" si="22"/>
        <v/>
      </c>
      <c r="R710" s="7"/>
      <c r="S710" s="7"/>
      <c r="W710" s="7" t="str">
        <f t="shared" si="23"/>
        <v/>
      </c>
    </row>
    <row r="711" spans="2:23" customFormat="1">
      <c r="B711" s="71"/>
      <c r="C711" s="71"/>
      <c r="D711" s="72"/>
      <c r="E711" s="12"/>
      <c r="F711" s="107"/>
      <c r="G711" s="11"/>
      <c r="H711" s="13"/>
      <c r="I711" s="14"/>
      <c r="J711" s="13"/>
      <c r="K711" s="10"/>
      <c r="L711" s="10"/>
      <c r="M711" s="7"/>
      <c r="N711" s="10"/>
      <c r="O711" s="1"/>
      <c r="P711" s="21"/>
      <c r="Q711" s="23" t="str">
        <f t="shared" si="22"/>
        <v/>
      </c>
      <c r="R711" s="7"/>
      <c r="S711" s="7"/>
      <c r="W711" s="7" t="str">
        <f t="shared" si="23"/>
        <v/>
      </c>
    </row>
    <row r="712" spans="2:23" customFormat="1">
      <c r="B712" s="71"/>
      <c r="C712" s="71"/>
      <c r="D712" s="72"/>
      <c r="E712" s="12"/>
      <c r="F712" s="107"/>
      <c r="G712" s="11"/>
      <c r="H712" s="13"/>
      <c r="I712" s="14"/>
      <c r="J712" s="13"/>
      <c r="K712" s="10"/>
      <c r="L712" s="10"/>
      <c r="M712" s="7"/>
      <c r="N712" s="10"/>
      <c r="O712" s="1"/>
      <c r="P712" s="21"/>
      <c r="Q712" s="23" t="str">
        <f t="shared" si="22"/>
        <v/>
      </c>
      <c r="R712" s="7"/>
      <c r="S712" s="7"/>
      <c r="W712" s="7" t="str">
        <f t="shared" si="23"/>
        <v/>
      </c>
    </row>
    <row r="713" spans="2:23" customFormat="1">
      <c r="B713" s="71"/>
      <c r="C713" s="71"/>
      <c r="D713" s="72"/>
      <c r="E713" s="12"/>
      <c r="F713" s="107"/>
      <c r="G713" s="11"/>
      <c r="H713" s="13"/>
      <c r="I713" s="14"/>
      <c r="J713" s="13"/>
      <c r="K713" s="10"/>
      <c r="L713" s="10"/>
      <c r="M713" s="7"/>
      <c r="N713" s="10"/>
      <c r="O713" s="1"/>
      <c r="P713" s="21"/>
      <c r="Q713" s="23" t="str">
        <f t="shared" si="22"/>
        <v/>
      </c>
      <c r="R713" s="7"/>
      <c r="S713" s="7"/>
      <c r="W713" s="7" t="str">
        <f t="shared" si="23"/>
        <v/>
      </c>
    </row>
    <row r="714" spans="2:23" customFormat="1">
      <c r="B714" s="71"/>
      <c r="C714" s="71"/>
      <c r="D714" s="72"/>
      <c r="E714" s="12"/>
      <c r="F714" s="107"/>
      <c r="G714" s="11"/>
      <c r="H714" s="13"/>
      <c r="I714" s="14"/>
      <c r="J714" s="13"/>
      <c r="K714" s="10"/>
      <c r="L714" s="10"/>
      <c r="M714" s="7"/>
      <c r="N714" s="10"/>
      <c r="O714" s="1"/>
      <c r="P714" s="21"/>
      <c r="Q714" s="23" t="str">
        <f t="shared" si="22"/>
        <v/>
      </c>
      <c r="R714" s="7"/>
      <c r="S714" s="7"/>
      <c r="W714" s="7" t="str">
        <f t="shared" si="23"/>
        <v/>
      </c>
    </row>
    <row r="715" spans="2:23" customFormat="1">
      <c r="B715" s="71"/>
      <c r="C715" s="71"/>
      <c r="D715" s="72"/>
      <c r="E715" s="12"/>
      <c r="F715" s="107"/>
      <c r="G715" s="11"/>
      <c r="H715" s="13"/>
      <c r="I715" s="14"/>
      <c r="J715" s="13"/>
      <c r="K715" s="10"/>
      <c r="L715" s="10"/>
      <c r="M715" s="7"/>
      <c r="N715" s="10"/>
      <c r="O715" s="1"/>
      <c r="P715" s="21"/>
      <c r="Q715" s="23" t="str">
        <f t="shared" si="22"/>
        <v/>
      </c>
      <c r="R715" s="7"/>
      <c r="S715" s="7"/>
      <c r="W715" s="7" t="str">
        <f t="shared" si="23"/>
        <v/>
      </c>
    </row>
    <row r="716" spans="2:23" customFormat="1">
      <c r="B716" s="71"/>
      <c r="C716" s="71"/>
      <c r="D716" s="72"/>
      <c r="E716" s="12"/>
      <c r="F716" s="107"/>
      <c r="G716" s="11"/>
      <c r="H716" s="13"/>
      <c r="I716" s="14"/>
      <c r="J716" s="13"/>
      <c r="K716" s="10"/>
      <c r="L716" s="10"/>
      <c r="M716" s="7"/>
      <c r="N716" s="10"/>
      <c r="O716" s="1"/>
      <c r="P716" s="21"/>
      <c r="Q716" s="23" t="str">
        <f t="shared" si="22"/>
        <v/>
      </c>
      <c r="R716" s="7"/>
      <c r="S716" s="7"/>
      <c r="W716" s="7" t="str">
        <f t="shared" si="23"/>
        <v/>
      </c>
    </row>
    <row r="717" spans="2:23" customFormat="1">
      <c r="B717" s="71"/>
      <c r="C717" s="71"/>
      <c r="D717" s="72"/>
      <c r="E717" s="12"/>
      <c r="F717" s="107"/>
      <c r="G717" s="11"/>
      <c r="H717" s="13"/>
      <c r="I717" s="14"/>
      <c r="J717" s="13"/>
      <c r="K717" s="10"/>
      <c r="L717" s="10"/>
      <c r="M717" s="7"/>
      <c r="N717" s="10"/>
      <c r="O717" s="1"/>
      <c r="P717" s="21"/>
      <c r="Q717" s="23" t="str">
        <f t="shared" si="22"/>
        <v/>
      </c>
      <c r="R717" s="7"/>
      <c r="S717" s="7"/>
      <c r="W717" s="7" t="str">
        <f t="shared" si="23"/>
        <v/>
      </c>
    </row>
    <row r="718" spans="2:23" customFormat="1">
      <c r="B718" s="71"/>
      <c r="C718" s="71"/>
      <c r="D718" s="72"/>
      <c r="E718" s="12"/>
      <c r="F718" s="107"/>
      <c r="G718" s="11"/>
      <c r="H718" s="13"/>
      <c r="I718" s="14"/>
      <c r="J718" s="13"/>
      <c r="K718" s="10"/>
      <c r="L718" s="10"/>
      <c r="M718" s="7"/>
      <c r="N718" s="10"/>
      <c r="O718" s="1"/>
      <c r="P718" s="21"/>
      <c r="Q718" s="23" t="str">
        <f t="shared" si="22"/>
        <v/>
      </c>
      <c r="R718" s="7"/>
      <c r="S718" s="7"/>
      <c r="W718" s="7" t="str">
        <f t="shared" si="23"/>
        <v/>
      </c>
    </row>
    <row r="719" spans="2:23" customFormat="1">
      <c r="B719" s="71"/>
      <c r="C719" s="71"/>
      <c r="D719" s="72"/>
      <c r="E719" s="12"/>
      <c r="F719" s="107"/>
      <c r="G719" s="11"/>
      <c r="H719" s="13"/>
      <c r="I719" s="14"/>
      <c r="J719" s="13"/>
      <c r="K719" s="10"/>
      <c r="L719" s="10"/>
      <c r="M719" s="7"/>
      <c r="N719" s="10"/>
      <c r="O719" s="1"/>
      <c r="P719" s="21"/>
      <c r="Q719" s="23" t="str">
        <f t="shared" si="22"/>
        <v/>
      </c>
      <c r="R719" s="7"/>
      <c r="S719" s="7"/>
      <c r="W719" s="7" t="str">
        <f t="shared" si="23"/>
        <v/>
      </c>
    </row>
    <row r="720" spans="2:23" customFormat="1">
      <c r="B720" s="71"/>
      <c r="C720" s="71"/>
      <c r="D720" s="72"/>
      <c r="E720" s="12"/>
      <c r="F720" s="107"/>
      <c r="G720" s="11"/>
      <c r="H720" s="13"/>
      <c r="I720" s="14"/>
      <c r="J720" s="13"/>
      <c r="K720" s="10"/>
      <c r="L720" s="10"/>
      <c r="M720" s="7"/>
      <c r="N720" s="10"/>
      <c r="O720" s="1"/>
      <c r="P720" s="21"/>
      <c r="Q720" s="23" t="str">
        <f t="shared" si="22"/>
        <v/>
      </c>
      <c r="R720" s="7"/>
      <c r="S720" s="7"/>
      <c r="W720" s="7" t="str">
        <f t="shared" si="23"/>
        <v/>
      </c>
    </row>
    <row r="721" spans="2:23" customFormat="1">
      <c r="B721" s="71"/>
      <c r="C721" s="71"/>
      <c r="D721" s="72"/>
      <c r="E721" s="12"/>
      <c r="F721" s="107"/>
      <c r="G721" s="11"/>
      <c r="H721" s="13"/>
      <c r="I721" s="14"/>
      <c r="J721" s="13"/>
      <c r="K721" s="10"/>
      <c r="L721" s="10"/>
      <c r="M721" s="7"/>
      <c r="N721" s="10"/>
      <c r="O721" s="1"/>
      <c r="P721" s="21"/>
      <c r="Q721" s="23" t="str">
        <f t="shared" si="22"/>
        <v/>
      </c>
      <c r="R721" s="7"/>
      <c r="S721" s="7"/>
      <c r="W721" s="7" t="str">
        <f t="shared" si="23"/>
        <v/>
      </c>
    </row>
    <row r="722" spans="2:23" customFormat="1">
      <c r="B722" s="71"/>
      <c r="C722" s="71"/>
      <c r="D722" s="72"/>
      <c r="E722" s="12"/>
      <c r="F722" s="107"/>
      <c r="G722" s="11"/>
      <c r="H722" s="13"/>
      <c r="I722" s="14"/>
      <c r="J722" s="13"/>
      <c r="K722" s="10"/>
      <c r="L722" s="10"/>
      <c r="M722" s="7"/>
      <c r="N722" s="10"/>
      <c r="O722" s="1"/>
      <c r="P722" s="21"/>
      <c r="Q722" s="23" t="str">
        <f t="shared" si="22"/>
        <v/>
      </c>
      <c r="R722" s="7"/>
      <c r="S722" s="7"/>
      <c r="W722" s="7" t="str">
        <f t="shared" si="23"/>
        <v/>
      </c>
    </row>
    <row r="723" spans="2:23" customFormat="1">
      <c r="B723" s="71"/>
      <c r="C723" s="71"/>
      <c r="D723" s="72"/>
      <c r="E723" s="12"/>
      <c r="F723" s="107"/>
      <c r="G723" s="11"/>
      <c r="H723" s="13"/>
      <c r="I723" s="14"/>
      <c r="J723" s="13"/>
      <c r="K723" s="10"/>
      <c r="L723" s="10"/>
      <c r="M723" s="7"/>
      <c r="N723" s="10"/>
      <c r="O723" s="1"/>
      <c r="P723" s="21"/>
      <c r="Q723" s="23" t="str">
        <f t="shared" si="22"/>
        <v/>
      </c>
      <c r="R723" s="7"/>
      <c r="S723" s="7"/>
      <c r="W723" s="7" t="str">
        <f t="shared" si="23"/>
        <v/>
      </c>
    </row>
    <row r="724" spans="2:23" customFormat="1">
      <c r="B724" s="71"/>
      <c r="C724" s="71"/>
      <c r="D724" s="72"/>
      <c r="E724" s="12"/>
      <c r="F724" s="107"/>
      <c r="G724" s="11"/>
      <c r="H724" s="13"/>
      <c r="I724" s="14"/>
      <c r="J724" s="13"/>
      <c r="K724" s="10"/>
      <c r="L724" s="10"/>
      <c r="M724" s="7"/>
      <c r="N724" s="10"/>
      <c r="O724" s="1"/>
      <c r="P724" s="21"/>
      <c r="Q724" s="23" t="str">
        <f t="shared" si="22"/>
        <v/>
      </c>
      <c r="R724" s="7"/>
      <c r="S724" s="7"/>
      <c r="W724" s="7" t="str">
        <f t="shared" si="23"/>
        <v/>
      </c>
    </row>
    <row r="725" spans="2:23" customFormat="1">
      <c r="B725" s="71"/>
      <c r="C725" s="71"/>
      <c r="D725" s="72"/>
      <c r="E725" s="12"/>
      <c r="F725" s="107"/>
      <c r="G725" s="11"/>
      <c r="H725" s="13"/>
      <c r="I725" s="14"/>
      <c r="J725" s="13"/>
      <c r="K725" s="10"/>
      <c r="L725" s="10"/>
      <c r="M725" s="7"/>
      <c r="N725" s="10"/>
      <c r="O725" s="1"/>
      <c r="P725" s="21"/>
      <c r="Q725" s="23" t="str">
        <f t="shared" si="22"/>
        <v/>
      </c>
      <c r="R725" s="7"/>
      <c r="S725" s="7"/>
      <c r="W725" s="7" t="str">
        <f t="shared" si="23"/>
        <v/>
      </c>
    </row>
    <row r="726" spans="2:23" customFormat="1">
      <c r="B726" s="71"/>
      <c r="C726" s="71"/>
      <c r="D726" s="72"/>
      <c r="E726" s="12"/>
      <c r="F726" s="107"/>
      <c r="G726" s="11"/>
      <c r="H726" s="13"/>
      <c r="I726" s="14"/>
      <c r="J726" s="13"/>
      <c r="K726" s="10"/>
      <c r="L726" s="10"/>
      <c r="M726" s="7"/>
      <c r="N726" s="10"/>
      <c r="O726" s="1"/>
      <c r="P726" s="21"/>
      <c r="Q726" s="23" t="str">
        <f t="shared" si="22"/>
        <v/>
      </c>
      <c r="R726" s="7"/>
      <c r="S726" s="7"/>
      <c r="W726" s="7" t="str">
        <f t="shared" si="23"/>
        <v/>
      </c>
    </row>
    <row r="727" spans="2:23" customFormat="1">
      <c r="B727" s="71"/>
      <c r="C727" s="71"/>
      <c r="D727" s="72"/>
      <c r="E727" s="12"/>
      <c r="F727" s="107"/>
      <c r="G727" s="11"/>
      <c r="H727" s="13"/>
      <c r="I727" s="14"/>
      <c r="J727" s="13"/>
      <c r="K727" s="10"/>
      <c r="L727" s="10"/>
      <c r="M727" s="7"/>
      <c r="N727" s="10"/>
      <c r="O727" s="1"/>
      <c r="P727" s="21"/>
      <c r="Q727" s="23" t="str">
        <f t="shared" ref="Q727:Q790" si="24">IF(P727="Exemplary", "None; meets or exceeds all minimum requirements.",IF(P727="Strong", "Minor gaps in execution or periodic review; improvement needed.",IF(P727="Developing", "Partial compliance; gaps in documentation, roles, or execution.",IF(P727="Emerging", "Informal or incomplete implementation; missing formal documents or procedures.",IF(P727="Critical", "Control not initiated; no documentation or designation.","")))))</f>
        <v/>
      </c>
      <c r="R727" s="7"/>
      <c r="S727" s="7"/>
      <c r="W727" s="7" t="str">
        <f t="shared" si="23"/>
        <v/>
      </c>
    </row>
    <row r="728" spans="2:23" customFormat="1">
      <c r="B728" s="71"/>
      <c r="C728" s="71"/>
      <c r="D728" s="72"/>
      <c r="E728" s="12"/>
      <c r="F728" s="107"/>
      <c r="G728" s="11"/>
      <c r="H728" s="13"/>
      <c r="I728" s="14"/>
      <c r="J728" s="13"/>
      <c r="K728" s="10"/>
      <c r="L728" s="10"/>
      <c r="M728" s="7"/>
      <c r="N728" s="10"/>
      <c r="O728" s="1"/>
      <c r="P728" s="21"/>
      <c r="Q728" s="23" t="str">
        <f t="shared" si="24"/>
        <v/>
      </c>
      <c r="R728" s="7"/>
      <c r="S728" s="7"/>
      <c r="W728" s="7" t="str">
        <f t="shared" ref="W728:W791" si="25">IFERROR(VALUE(MID(P728,7,1)),"")</f>
        <v/>
      </c>
    </row>
    <row r="729" spans="2:23" customFormat="1">
      <c r="B729" s="71"/>
      <c r="C729" s="71"/>
      <c r="D729" s="72"/>
      <c r="E729" s="12"/>
      <c r="F729" s="107"/>
      <c r="G729" s="11"/>
      <c r="H729" s="13"/>
      <c r="I729" s="14"/>
      <c r="J729" s="13"/>
      <c r="K729" s="10"/>
      <c r="L729" s="10"/>
      <c r="M729" s="7"/>
      <c r="N729" s="10"/>
      <c r="O729" s="1"/>
      <c r="P729" s="21"/>
      <c r="Q729" s="23" t="str">
        <f t="shared" si="24"/>
        <v/>
      </c>
      <c r="R729" s="7"/>
      <c r="S729" s="7"/>
      <c r="W729" s="7" t="str">
        <f t="shared" si="25"/>
        <v/>
      </c>
    </row>
    <row r="730" spans="2:23" customFormat="1">
      <c r="B730" s="71"/>
      <c r="C730" s="71"/>
      <c r="D730" s="72"/>
      <c r="E730" s="12"/>
      <c r="F730" s="107"/>
      <c r="G730" s="11"/>
      <c r="H730" s="13"/>
      <c r="I730" s="14"/>
      <c r="J730" s="13"/>
      <c r="K730" s="10"/>
      <c r="L730" s="10"/>
      <c r="M730" s="7"/>
      <c r="N730" s="10"/>
      <c r="O730" s="1"/>
      <c r="P730" s="21"/>
      <c r="Q730" s="23" t="str">
        <f t="shared" si="24"/>
        <v/>
      </c>
      <c r="R730" s="7"/>
      <c r="S730" s="7"/>
      <c r="W730" s="7" t="str">
        <f t="shared" si="25"/>
        <v/>
      </c>
    </row>
    <row r="731" spans="2:23" customFormat="1">
      <c r="B731" s="71"/>
      <c r="C731" s="71"/>
      <c r="D731" s="72"/>
      <c r="E731" s="12"/>
      <c r="F731" s="107"/>
      <c r="G731" s="11"/>
      <c r="H731" s="13"/>
      <c r="I731" s="14"/>
      <c r="J731" s="13"/>
      <c r="K731" s="10"/>
      <c r="L731" s="10"/>
      <c r="M731" s="7"/>
      <c r="N731" s="10"/>
      <c r="O731" s="1"/>
      <c r="P731" s="21"/>
      <c r="Q731" s="23" t="str">
        <f t="shared" si="24"/>
        <v/>
      </c>
      <c r="R731" s="7"/>
      <c r="S731" s="7"/>
      <c r="W731" s="7" t="str">
        <f t="shared" si="25"/>
        <v/>
      </c>
    </row>
    <row r="732" spans="2:23" customFormat="1">
      <c r="B732" s="71"/>
      <c r="C732" s="71"/>
      <c r="D732" s="72"/>
      <c r="E732" s="12"/>
      <c r="F732" s="107"/>
      <c r="G732" s="11"/>
      <c r="H732" s="13"/>
      <c r="I732" s="14"/>
      <c r="J732" s="13"/>
      <c r="K732" s="10"/>
      <c r="L732" s="10"/>
      <c r="M732" s="7"/>
      <c r="N732" s="10"/>
      <c r="O732" s="1"/>
      <c r="P732" s="21"/>
      <c r="Q732" s="23" t="str">
        <f t="shared" si="24"/>
        <v/>
      </c>
      <c r="R732" s="7"/>
      <c r="S732" s="7"/>
      <c r="W732" s="7" t="str">
        <f t="shared" si="25"/>
        <v/>
      </c>
    </row>
    <row r="733" spans="2:23" customFormat="1">
      <c r="B733" s="71"/>
      <c r="C733" s="71"/>
      <c r="D733" s="72"/>
      <c r="E733" s="12"/>
      <c r="F733" s="107"/>
      <c r="G733" s="11"/>
      <c r="H733" s="13"/>
      <c r="I733" s="14"/>
      <c r="J733" s="13"/>
      <c r="K733" s="10"/>
      <c r="L733" s="10"/>
      <c r="M733" s="7"/>
      <c r="N733" s="10"/>
      <c r="O733" s="1"/>
      <c r="P733" s="21"/>
      <c r="Q733" s="23" t="str">
        <f t="shared" si="24"/>
        <v/>
      </c>
      <c r="R733" s="7"/>
      <c r="S733" s="7"/>
      <c r="W733" s="7" t="str">
        <f t="shared" si="25"/>
        <v/>
      </c>
    </row>
    <row r="734" spans="2:23" customFormat="1">
      <c r="B734" s="71"/>
      <c r="C734" s="71"/>
      <c r="D734" s="72"/>
      <c r="E734" s="12"/>
      <c r="F734" s="107"/>
      <c r="G734" s="11"/>
      <c r="H734" s="13"/>
      <c r="I734" s="14"/>
      <c r="J734" s="13"/>
      <c r="K734" s="10"/>
      <c r="L734" s="10"/>
      <c r="M734" s="7"/>
      <c r="N734" s="10"/>
      <c r="O734" s="1"/>
      <c r="P734" s="21"/>
      <c r="Q734" s="23" t="str">
        <f t="shared" si="24"/>
        <v/>
      </c>
      <c r="R734" s="7"/>
      <c r="S734" s="7"/>
      <c r="W734" s="7" t="str">
        <f t="shared" si="25"/>
        <v/>
      </c>
    </row>
    <row r="735" spans="2:23" customFormat="1">
      <c r="B735" s="71"/>
      <c r="C735" s="71"/>
      <c r="D735" s="72"/>
      <c r="E735" s="12"/>
      <c r="F735" s="107"/>
      <c r="G735" s="11"/>
      <c r="H735" s="13"/>
      <c r="I735" s="14"/>
      <c r="J735" s="13"/>
      <c r="K735" s="10"/>
      <c r="L735" s="10"/>
      <c r="M735" s="7"/>
      <c r="N735" s="10"/>
      <c r="O735" s="1"/>
      <c r="P735" s="21"/>
      <c r="Q735" s="23" t="str">
        <f t="shared" si="24"/>
        <v/>
      </c>
      <c r="R735" s="7"/>
      <c r="S735" s="7"/>
      <c r="W735" s="7" t="str">
        <f t="shared" si="25"/>
        <v/>
      </c>
    </row>
    <row r="736" spans="2:23" customFormat="1">
      <c r="B736" s="71"/>
      <c r="C736" s="71"/>
      <c r="D736" s="72"/>
      <c r="E736" s="12"/>
      <c r="F736" s="107"/>
      <c r="G736" s="11"/>
      <c r="H736" s="13"/>
      <c r="I736" s="14"/>
      <c r="J736" s="13"/>
      <c r="K736" s="10"/>
      <c r="L736" s="10"/>
      <c r="M736" s="7"/>
      <c r="N736" s="10"/>
      <c r="O736" s="1"/>
      <c r="P736" s="21"/>
      <c r="Q736" s="23" t="str">
        <f t="shared" si="24"/>
        <v/>
      </c>
      <c r="R736" s="7"/>
      <c r="S736" s="7"/>
      <c r="W736" s="7" t="str">
        <f t="shared" si="25"/>
        <v/>
      </c>
    </row>
    <row r="737" spans="2:23" customFormat="1">
      <c r="B737" s="71"/>
      <c r="C737" s="71"/>
      <c r="D737" s="72"/>
      <c r="E737" s="12"/>
      <c r="F737" s="107"/>
      <c r="G737" s="11"/>
      <c r="H737" s="13"/>
      <c r="I737" s="14"/>
      <c r="J737" s="13"/>
      <c r="K737" s="10"/>
      <c r="L737" s="10"/>
      <c r="M737" s="7"/>
      <c r="N737" s="10"/>
      <c r="O737" s="1"/>
      <c r="P737" s="21"/>
      <c r="Q737" s="23" t="str">
        <f t="shared" si="24"/>
        <v/>
      </c>
      <c r="R737" s="7"/>
      <c r="S737" s="7"/>
      <c r="W737" s="7" t="str">
        <f t="shared" si="25"/>
        <v/>
      </c>
    </row>
    <row r="738" spans="2:23" customFormat="1">
      <c r="B738" s="71"/>
      <c r="C738" s="71"/>
      <c r="D738" s="72"/>
      <c r="E738" s="12"/>
      <c r="F738" s="107"/>
      <c r="G738" s="11"/>
      <c r="H738" s="13"/>
      <c r="I738" s="14"/>
      <c r="J738" s="13"/>
      <c r="K738" s="10"/>
      <c r="L738" s="10"/>
      <c r="M738" s="7"/>
      <c r="N738" s="10"/>
      <c r="O738" s="1"/>
      <c r="P738" s="21"/>
      <c r="Q738" s="23" t="str">
        <f t="shared" si="24"/>
        <v/>
      </c>
      <c r="R738" s="7"/>
      <c r="S738" s="7"/>
      <c r="W738" s="7" t="str">
        <f t="shared" si="25"/>
        <v/>
      </c>
    </row>
    <row r="739" spans="2:23" customFormat="1">
      <c r="B739" s="71"/>
      <c r="C739" s="71"/>
      <c r="D739" s="72"/>
      <c r="E739" s="12"/>
      <c r="F739" s="107"/>
      <c r="G739" s="11"/>
      <c r="H739" s="13"/>
      <c r="I739" s="14"/>
      <c r="J739" s="13"/>
      <c r="K739" s="10"/>
      <c r="L739" s="10"/>
      <c r="M739" s="7"/>
      <c r="N739" s="10"/>
      <c r="O739" s="1"/>
      <c r="P739" s="21"/>
      <c r="Q739" s="23" t="str">
        <f t="shared" si="24"/>
        <v/>
      </c>
      <c r="R739" s="7"/>
      <c r="S739" s="7"/>
      <c r="W739" s="7" t="str">
        <f t="shared" si="25"/>
        <v/>
      </c>
    </row>
    <row r="740" spans="2:23" customFormat="1">
      <c r="B740" s="71"/>
      <c r="C740" s="71"/>
      <c r="D740" s="72"/>
      <c r="E740" s="12"/>
      <c r="F740" s="107"/>
      <c r="G740" s="11"/>
      <c r="H740" s="13"/>
      <c r="I740" s="14"/>
      <c r="J740" s="13"/>
      <c r="K740" s="10"/>
      <c r="L740" s="10"/>
      <c r="M740" s="7"/>
      <c r="N740" s="10"/>
      <c r="O740" s="1"/>
      <c r="P740" s="21"/>
      <c r="Q740" s="23" t="str">
        <f t="shared" si="24"/>
        <v/>
      </c>
      <c r="R740" s="7"/>
      <c r="S740" s="7"/>
      <c r="W740" s="7" t="str">
        <f t="shared" si="25"/>
        <v/>
      </c>
    </row>
    <row r="741" spans="2:23" customFormat="1">
      <c r="B741" s="71"/>
      <c r="C741" s="71"/>
      <c r="D741" s="72"/>
      <c r="E741" s="12"/>
      <c r="F741" s="107"/>
      <c r="G741" s="11"/>
      <c r="H741" s="13"/>
      <c r="I741" s="14"/>
      <c r="J741" s="13"/>
      <c r="K741" s="10"/>
      <c r="L741" s="10"/>
      <c r="M741" s="7"/>
      <c r="N741" s="10"/>
      <c r="O741" s="1"/>
      <c r="P741" s="21"/>
      <c r="Q741" s="23" t="str">
        <f t="shared" si="24"/>
        <v/>
      </c>
      <c r="R741" s="7"/>
      <c r="S741" s="7"/>
      <c r="W741" s="7" t="str">
        <f t="shared" si="25"/>
        <v/>
      </c>
    </row>
    <row r="742" spans="2:23" customFormat="1">
      <c r="B742" s="71"/>
      <c r="C742" s="71"/>
      <c r="D742" s="72"/>
      <c r="E742" s="12"/>
      <c r="F742" s="107"/>
      <c r="G742" s="11"/>
      <c r="H742" s="13"/>
      <c r="I742" s="14"/>
      <c r="J742" s="13"/>
      <c r="K742" s="10"/>
      <c r="L742" s="10"/>
      <c r="M742" s="7"/>
      <c r="N742" s="10"/>
      <c r="O742" s="1"/>
      <c r="P742" s="21"/>
      <c r="Q742" s="23" t="str">
        <f t="shared" si="24"/>
        <v/>
      </c>
      <c r="R742" s="7"/>
      <c r="S742" s="7"/>
      <c r="W742" s="7" t="str">
        <f t="shared" si="25"/>
        <v/>
      </c>
    </row>
    <row r="743" spans="2:23" customFormat="1">
      <c r="B743" s="71"/>
      <c r="C743" s="71"/>
      <c r="D743" s="72"/>
      <c r="E743" s="12"/>
      <c r="F743" s="107"/>
      <c r="G743" s="11"/>
      <c r="H743" s="13"/>
      <c r="I743" s="14"/>
      <c r="J743" s="13"/>
      <c r="K743" s="10"/>
      <c r="L743" s="10"/>
      <c r="M743" s="7"/>
      <c r="N743" s="10"/>
      <c r="O743" s="1"/>
      <c r="P743" s="21"/>
      <c r="Q743" s="23" t="str">
        <f t="shared" si="24"/>
        <v/>
      </c>
      <c r="R743" s="7"/>
      <c r="S743" s="7"/>
      <c r="W743" s="7" t="str">
        <f t="shared" si="25"/>
        <v/>
      </c>
    </row>
    <row r="744" spans="2:23" customFormat="1">
      <c r="B744" s="71"/>
      <c r="C744" s="71"/>
      <c r="D744" s="72"/>
      <c r="E744" s="12"/>
      <c r="F744" s="107"/>
      <c r="G744" s="11"/>
      <c r="H744" s="13"/>
      <c r="I744" s="14"/>
      <c r="J744" s="13"/>
      <c r="K744" s="10"/>
      <c r="L744" s="10"/>
      <c r="M744" s="7"/>
      <c r="N744" s="10"/>
      <c r="O744" s="1"/>
      <c r="P744" s="21"/>
      <c r="Q744" s="23" t="str">
        <f t="shared" si="24"/>
        <v/>
      </c>
      <c r="R744" s="7"/>
      <c r="S744" s="7"/>
      <c r="W744" s="7" t="str">
        <f t="shared" si="25"/>
        <v/>
      </c>
    </row>
    <row r="745" spans="2:23" customFormat="1">
      <c r="B745" s="71"/>
      <c r="C745" s="71"/>
      <c r="D745" s="72"/>
      <c r="E745" s="12"/>
      <c r="F745" s="107"/>
      <c r="G745" s="11"/>
      <c r="H745" s="13"/>
      <c r="I745" s="14"/>
      <c r="J745" s="13"/>
      <c r="K745" s="10"/>
      <c r="L745" s="10"/>
      <c r="M745" s="7"/>
      <c r="N745" s="10"/>
      <c r="O745" s="1"/>
      <c r="P745" s="21"/>
      <c r="Q745" s="23" t="str">
        <f t="shared" si="24"/>
        <v/>
      </c>
      <c r="R745" s="7"/>
      <c r="S745" s="7"/>
      <c r="W745" s="7" t="str">
        <f t="shared" si="25"/>
        <v/>
      </c>
    </row>
    <row r="746" spans="2:23" customFormat="1">
      <c r="B746" s="71"/>
      <c r="C746" s="71"/>
      <c r="D746" s="72"/>
      <c r="E746" s="12"/>
      <c r="F746" s="107"/>
      <c r="G746" s="11"/>
      <c r="H746" s="13"/>
      <c r="I746" s="14"/>
      <c r="J746" s="13"/>
      <c r="K746" s="10"/>
      <c r="L746" s="10"/>
      <c r="M746" s="7"/>
      <c r="N746" s="10"/>
      <c r="O746" s="1"/>
      <c r="P746" s="21"/>
      <c r="Q746" s="23" t="str">
        <f t="shared" si="24"/>
        <v/>
      </c>
      <c r="R746" s="7"/>
      <c r="S746" s="7"/>
      <c r="W746" s="7" t="str">
        <f t="shared" si="25"/>
        <v/>
      </c>
    </row>
    <row r="747" spans="2:23" customFormat="1">
      <c r="B747" s="71"/>
      <c r="C747" s="71"/>
      <c r="D747" s="72"/>
      <c r="E747" s="12"/>
      <c r="F747" s="107"/>
      <c r="G747" s="11"/>
      <c r="H747" s="13"/>
      <c r="I747" s="14"/>
      <c r="J747" s="13"/>
      <c r="K747" s="10"/>
      <c r="L747" s="10"/>
      <c r="M747" s="7"/>
      <c r="N747" s="10"/>
      <c r="O747" s="1"/>
      <c r="P747" s="21"/>
      <c r="Q747" s="23" t="str">
        <f t="shared" si="24"/>
        <v/>
      </c>
      <c r="R747" s="7"/>
      <c r="S747" s="7"/>
      <c r="W747" s="7" t="str">
        <f t="shared" si="25"/>
        <v/>
      </c>
    </row>
    <row r="748" spans="2:23" customFormat="1">
      <c r="B748" s="71"/>
      <c r="C748" s="71"/>
      <c r="D748" s="72"/>
      <c r="E748" s="12"/>
      <c r="F748" s="107"/>
      <c r="G748" s="11"/>
      <c r="H748" s="13"/>
      <c r="I748" s="14"/>
      <c r="J748" s="13"/>
      <c r="K748" s="10"/>
      <c r="L748" s="10"/>
      <c r="M748" s="7"/>
      <c r="N748" s="10"/>
      <c r="O748" s="1"/>
      <c r="P748" s="21"/>
      <c r="Q748" s="23" t="str">
        <f t="shared" si="24"/>
        <v/>
      </c>
      <c r="R748" s="7"/>
      <c r="S748" s="7"/>
      <c r="W748" s="7" t="str">
        <f t="shared" si="25"/>
        <v/>
      </c>
    </row>
    <row r="749" spans="2:23" customFormat="1">
      <c r="B749" s="71"/>
      <c r="C749" s="71"/>
      <c r="D749" s="72"/>
      <c r="E749" s="12"/>
      <c r="F749" s="107"/>
      <c r="G749" s="11"/>
      <c r="H749" s="13"/>
      <c r="I749" s="14"/>
      <c r="J749" s="13"/>
      <c r="K749" s="10"/>
      <c r="L749" s="10"/>
      <c r="M749" s="7"/>
      <c r="N749" s="10"/>
      <c r="O749" s="1"/>
      <c r="P749" s="21"/>
      <c r="Q749" s="23" t="str">
        <f t="shared" si="24"/>
        <v/>
      </c>
      <c r="R749" s="7"/>
      <c r="S749" s="7"/>
      <c r="W749" s="7" t="str">
        <f t="shared" si="25"/>
        <v/>
      </c>
    </row>
    <row r="750" spans="2:23" customFormat="1">
      <c r="B750" s="71"/>
      <c r="C750" s="71"/>
      <c r="D750" s="72"/>
      <c r="E750" s="12"/>
      <c r="F750" s="107"/>
      <c r="G750" s="11"/>
      <c r="H750" s="13"/>
      <c r="I750" s="14"/>
      <c r="J750" s="13"/>
      <c r="K750" s="10"/>
      <c r="L750" s="10"/>
      <c r="M750" s="7"/>
      <c r="N750" s="10"/>
      <c r="O750" s="1"/>
      <c r="P750" s="21"/>
      <c r="Q750" s="23" t="str">
        <f t="shared" si="24"/>
        <v/>
      </c>
      <c r="R750" s="7"/>
      <c r="S750" s="7"/>
      <c r="W750" s="7" t="str">
        <f t="shared" si="25"/>
        <v/>
      </c>
    </row>
    <row r="751" spans="2:23" customFormat="1">
      <c r="B751" s="71"/>
      <c r="C751" s="71"/>
      <c r="D751" s="72"/>
      <c r="E751" s="12"/>
      <c r="F751" s="107"/>
      <c r="G751" s="11"/>
      <c r="H751" s="13"/>
      <c r="I751" s="14"/>
      <c r="J751" s="13"/>
      <c r="K751" s="10"/>
      <c r="L751" s="10"/>
      <c r="M751" s="7"/>
      <c r="N751" s="10"/>
      <c r="O751" s="1"/>
      <c r="P751" s="21"/>
      <c r="Q751" s="23" t="str">
        <f t="shared" si="24"/>
        <v/>
      </c>
      <c r="R751" s="7"/>
      <c r="S751" s="7"/>
      <c r="W751" s="7" t="str">
        <f t="shared" si="25"/>
        <v/>
      </c>
    </row>
    <row r="752" spans="2:23" customFormat="1">
      <c r="B752" s="71"/>
      <c r="C752" s="71"/>
      <c r="D752" s="72"/>
      <c r="E752" s="12"/>
      <c r="F752" s="107"/>
      <c r="G752" s="11"/>
      <c r="H752" s="13"/>
      <c r="I752" s="14"/>
      <c r="J752" s="13"/>
      <c r="K752" s="10"/>
      <c r="L752" s="10"/>
      <c r="M752" s="7"/>
      <c r="N752" s="10"/>
      <c r="O752" s="1"/>
      <c r="P752" s="21"/>
      <c r="Q752" s="23" t="str">
        <f t="shared" si="24"/>
        <v/>
      </c>
      <c r="R752" s="7"/>
      <c r="S752" s="7"/>
      <c r="W752" s="7" t="str">
        <f t="shared" si="25"/>
        <v/>
      </c>
    </row>
    <row r="753" spans="2:23" customFormat="1">
      <c r="B753" s="71"/>
      <c r="C753" s="71"/>
      <c r="D753" s="72"/>
      <c r="E753" s="12"/>
      <c r="F753" s="107"/>
      <c r="G753" s="11"/>
      <c r="H753" s="13"/>
      <c r="I753" s="14"/>
      <c r="J753" s="13"/>
      <c r="K753" s="10"/>
      <c r="L753" s="10"/>
      <c r="M753" s="7"/>
      <c r="N753" s="10"/>
      <c r="O753" s="1"/>
      <c r="P753" s="21"/>
      <c r="Q753" s="23" t="str">
        <f t="shared" si="24"/>
        <v/>
      </c>
      <c r="R753" s="7"/>
      <c r="S753" s="7"/>
      <c r="W753" s="7" t="str">
        <f t="shared" si="25"/>
        <v/>
      </c>
    </row>
    <row r="754" spans="2:23" customFormat="1">
      <c r="B754" s="71"/>
      <c r="C754" s="71"/>
      <c r="D754" s="72"/>
      <c r="E754" s="12"/>
      <c r="F754" s="107"/>
      <c r="G754" s="11"/>
      <c r="H754" s="13"/>
      <c r="I754" s="14"/>
      <c r="J754" s="13"/>
      <c r="K754" s="10"/>
      <c r="L754" s="10"/>
      <c r="M754" s="7"/>
      <c r="N754" s="10"/>
      <c r="O754" s="1"/>
      <c r="P754" s="21"/>
      <c r="Q754" s="23" t="str">
        <f t="shared" si="24"/>
        <v/>
      </c>
      <c r="R754" s="7"/>
      <c r="S754" s="7"/>
      <c r="W754" s="7" t="str">
        <f t="shared" si="25"/>
        <v/>
      </c>
    </row>
    <row r="755" spans="2:23" customFormat="1">
      <c r="B755" s="71"/>
      <c r="C755" s="71"/>
      <c r="D755" s="72"/>
      <c r="E755" s="12"/>
      <c r="F755" s="107"/>
      <c r="G755" s="11"/>
      <c r="H755" s="13"/>
      <c r="I755" s="14"/>
      <c r="J755" s="13"/>
      <c r="K755" s="10"/>
      <c r="L755" s="10"/>
      <c r="M755" s="7"/>
      <c r="N755" s="10"/>
      <c r="O755" s="1"/>
      <c r="P755" s="21"/>
      <c r="Q755" s="23" t="str">
        <f t="shared" si="24"/>
        <v/>
      </c>
      <c r="R755" s="7"/>
      <c r="S755" s="7"/>
      <c r="W755" s="7" t="str">
        <f t="shared" si="25"/>
        <v/>
      </c>
    </row>
    <row r="756" spans="2:23" customFormat="1">
      <c r="B756" s="71"/>
      <c r="C756" s="71"/>
      <c r="D756" s="72"/>
      <c r="E756" s="12"/>
      <c r="F756" s="107"/>
      <c r="G756" s="11"/>
      <c r="H756" s="13"/>
      <c r="I756" s="14"/>
      <c r="J756" s="13"/>
      <c r="K756" s="10"/>
      <c r="L756" s="10"/>
      <c r="M756" s="7"/>
      <c r="N756" s="10"/>
      <c r="O756" s="1"/>
      <c r="P756" s="21"/>
      <c r="Q756" s="23" t="str">
        <f t="shared" si="24"/>
        <v/>
      </c>
      <c r="R756" s="7"/>
      <c r="S756" s="7"/>
      <c r="W756" s="7" t="str">
        <f t="shared" si="25"/>
        <v/>
      </c>
    </row>
    <row r="757" spans="2:23" customFormat="1">
      <c r="B757" s="71"/>
      <c r="C757" s="71"/>
      <c r="D757" s="72"/>
      <c r="E757" s="12"/>
      <c r="F757" s="107"/>
      <c r="G757" s="11"/>
      <c r="H757" s="13"/>
      <c r="I757" s="14"/>
      <c r="J757" s="13"/>
      <c r="K757" s="10"/>
      <c r="L757" s="10"/>
      <c r="M757" s="7"/>
      <c r="N757" s="10"/>
      <c r="O757" s="1"/>
      <c r="P757" s="21"/>
      <c r="Q757" s="23" t="str">
        <f t="shared" si="24"/>
        <v/>
      </c>
      <c r="R757" s="7"/>
      <c r="S757" s="7"/>
      <c r="W757" s="7" t="str">
        <f t="shared" si="25"/>
        <v/>
      </c>
    </row>
    <row r="758" spans="2:23" customFormat="1">
      <c r="B758" s="71"/>
      <c r="C758" s="71"/>
      <c r="D758" s="72"/>
      <c r="E758" s="12"/>
      <c r="F758" s="107"/>
      <c r="G758" s="11"/>
      <c r="H758" s="13"/>
      <c r="I758" s="14"/>
      <c r="J758" s="13"/>
      <c r="K758" s="10"/>
      <c r="L758" s="10"/>
      <c r="M758" s="7"/>
      <c r="N758" s="10"/>
      <c r="O758" s="1"/>
      <c r="P758" s="21"/>
      <c r="Q758" s="23" t="str">
        <f t="shared" si="24"/>
        <v/>
      </c>
      <c r="R758" s="7"/>
      <c r="S758" s="7"/>
      <c r="W758" s="7" t="str">
        <f t="shared" si="25"/>
        <v/>
      </c>
    </row>
    <row r="759" spans="2:23" customFormat="1">
      <c r="B759" s="71"/>
      <c r="C759" s="71"/>
      <c r="D759" s="72"/>
      <c r="E759" s="12"/>
      <c r="F759" s="107"/>
      <c r="G759" s="11"/>
      <c r="H759" s="13"/>
      <c r="I759" s="14"/>
      <c r="J759" s="13"/>
      <c r="K759" s="10"/>
      <c r="L759" s="10"/>
      <c r="M759" s="7"/>
      <c r="N759" s="10"/>
      <c r="O759" s="1"/>
      <c r="P759" s="21"/>
      <c r="Q759" s="23" t="str">
        <f t="shared" si="24"/>
        <v/>
      </c>
      <c r="R759" s="7"/>
      <c r="S759" s="7"/>
      <c r="W759" s="7" t="str">
        <f t="shared" si="25"/>
        <v/>
      </c>
    </row>
    <row r="760" spans="2:23" customFormat="1">
      <c r="B760" s="71"/>
      <c r="C760" s="71"/>
      <c r="D760" s="72"/>
      <c r="E760" s="12"/>
      <c r="F760" s="107"/>
      <c r="G760" s="11"/>
      <c r="H760" s="13"/>
      <c r="I760" s="14"/>
      <c r="J760" s="13"/>
      <c r="K760" s="10"/>
      <c r="L760" s="10"/>
      <c r="M760" s="7"/>
      <c r="N760" s="10"/>
      <c r="O760" s="1"/>
      <c r="P760" s="21"/>
      <c r="Q760" s="23" t="str">
        <f t="shared" si="24"/>
        <v/>
      </c>
      <c r="R760" s="7"/>
      <c r="S760" s="7"/>
      <c r="W760" s="7" t="str">
        <f t="shared" si="25"/>
        <v/>
      </c>
    </row>
    <row r="761" spans="2:23" customFormat="1">
      <c r="B761" s="71"/>
      <c r="C761" s="71"/>
      <c r="D761" s="72"/>
      <c r="E761" s="12"/>
      <c r="F761" s="107"/>
      <c r="G761" s="11"/>
      <c r="H761" s="13"/>
      <c r="I761" s="14"/>
      <c r="J761" s="13"/>
      <c r="K761" s="10"/>
      <c r="L761" s="10"/>
      <c r="M761" s="7"/>
      <c r="N761" s="10"/>
      <c r="O761" s="1"/>
      <c r="P761" s="21"/>
      <c r="Q761" s="23" t="str">
        <f t="shared" si="24"/>
        <v/>
      </c>
      <c r="R761" s="7"/>
      <c r="S761" s="7"/>
      <c r="W761" s="7" t="str">
        <f t="shared" si="25"/>
        <v/>
      </c>
    </row>
    <row r="762" spans="2:23" customFormat="1">
      <c r="B762" s="71"/>
      <c r="C762" s="71"/>
      <c r="D762" s="72"/>
      <c r="E762" s="12"/>
      <c r="F762" s="107"/>
      <c r="G762" s="11"/>
      <c r="H762" s="13"/>
      <c r="I762" s="14"/>
      <c r="J762" s="13"/>
      <c r="K762" s="10"/>
      <c r="L762" s="10"/>
      <c r="M762" s="7"/>
      <c r="N762" s="10"/>
      <c r="O762" s="1"/>
      <c r="P762" s="21"/>
      <c r="Q762" s="23" t="str">
        <f t="shared" si="24"/>
        <v/>
      </c>
      <c r="R762" s="7"/>
      <c r="S762" s="7"/>
      <c r="W762" s="7" t="str">
        <f t="shared" si="25"/>
        <v/>
      </c>
    </row>
    <row r="763" spans="2:23" customFormat="1">
      <c r="B763" s="71"/>
      <c r="C763" s="71"/>
      <c r="D763" s="72"/>
      <c r="E763" s="12"/>
      <c r="F763" s="107"/>
      <c r="G763" s="11"/>
      <c r="H763" s="13"/>
      <c r="I763" s="14"/>
      <c r="J763" s="13"/>
      <c r="K763" s="10"/>
      <c r="L763" s="10"/>
      <c r="M763" s="7"/>
      <c r="N763" s="10"/>
      <c r="O763" s="1"/>
      <c r="P763" s="21"/>
      <c r="Q763" s="23" t="str">
        <f t="shared" si="24"/>
        <v/>
      </c>
      <c r="R763" s="7"/>
      <c r="S763" s="7"/>
      <c r="W763" s="7" t="str">
        <f t="shared" si="25"/>
        <v/>
      </c>
    </row>
    <row r="764" spans="2:23" customFormat="1">
      <c r="B764" s="71"/>
      <c r="C764" s="71"/>
      <c r="D764" s="72"/>
      <c r="E764" s="12"/>
      <c r="F764" s="107"/>
      <c r="G764" s="11"/>
      <c r="H764" s="13"/>
      <c r="I764" s="14"/>
      <c r="J764" s="13"/>
      <c r="K764" s="10"/>
      <c r="L764" s="10"/>
      <c r="M764" s="7"/>
      <c r="N764" s="10"/>
      <c r="O764" s="1"/>
      <c r="P764" s="21"/>
      <c r="Q764" s="23" t="str">
        <f t="shared" si="24"/>
        <v/>
      </c>
      <c r="R764" s="7"/>
      <c r="S764" s="7"/>
      <c r="W764" s="7" t="str">
        <f t="shared" si="25"/>
        <v/>
      </c>
    </row>
    <row r="765" spans="2:23" customFormat="1">
      <c r="B765" s="71"/>
      <c r="C765" s="71"/>
      <c r="D765" s="72"/>
      <c r="E765" s="12"/>
      <c r="F765" s="107"/>
      <c r="G765" s="11"/>
      <c r="H765" s="13"/>
      <c r="I765" s="14"/>
      <c r="J765" s="13"/>
      <c r="K765" s="10"/>
      <c r="L765" s="10"/>
      <c r="M765" s="7"/>
      <c r="N765" s="10"/>
      <c r="O765" s="1"/>
      <c r="P765" s="21"/>
      <c r="Q765" s="23" t="str">
        <f t="shared" si="24"/>
        <v/>
      </c>
      <c r="R765" s="7"/>
      <c r="S765" s="7"/>
      <c r="W765" s="7" t="str">
        <f t="shared" si="25"/>
        <v/>
      </c>
    </row>
    <row r="766" spans="2:23" customFormat="1">
      <c r="B766" s="71"/>
      <c r="C766" s="71"/>
      <c r="D766" s="72"/>
      <c r="E766" s="12"/>
      <c r="F766" s="107"/>
      <c r="G766" s="11"/>
      <c r="H766" s="13"/>
      <c r="I766" s="14"/>
      <c r="J766" s="13"/>
      <c r="K766" s="10"/>
      <c r="L766" s="10"/>
      <c r="M766" s="7"/>
      <c r="N766" s="10"/>
      <c r="O766" s="1"/>
      <c r="P766" s="21"/>
      <c r="Q766" s="23" t="str">
        <f t="shared" si="24"/>
        <v/>
      </c>
      <c r="R766" s="7"/>
      <c r="S766" s="7"/>
      <c r="W766" s="7" t="str">
        <f t="shared" si="25"/>
        <v/>
      </c>
    </row>
    <row r="767" spans="2:23" customFormat="1">
      <c r="B767" s="71"/>
      <c r="C767" s="71"/>
      <c r="D767" s="72"/>
      <c r="E767" s="12"/>
      <c r="F767" s="107"/>
      <c r="G767" s="11"/>
      <c r="H767" s="13"/>
      <c r="I767" s="14"/>
      <c r="J767" s="13"/>
      <c r="K767" s="10"/>
      <c r="L767" s="10"/>
      <c r="M767" s="7"/>
      <c r="N767" s="10"/>
      <c r="O767" s="1"/>
      <c r="P767" s="21"/>
      <c r="Q767" s="23" t="str">
        <f t="shared" si="24"/>
        <v/>
      </c>
      <c r="R767" s="7"/>
      <c r="S767" s="7"/>
      <c r="W767" s="7" t="str">
        <f t="shared" si="25"/>
        <v/>
      </c>
    </row>
    <row r="768" spans="2:23" customFormat="1">
      <c r="B768" s="71"/>
      <c r="C768" s="71"/>
      <c r="D768" s="72"/>
      <c r="E768" s="12"/>
      <c r="F768" s="107"/>
      <c r="G768" s="11"/>
      <c r="H768" s="13"/>
      <c r="I768" s="14"/>
      <c r="J768" s="13"/>
      <c r="K768" s="10"/>
      <c r="L768" s="10"/>
      <c r="M768" s="7"/>
      <c r="N768" s="10"/>
      <c r="O768" s="1"/>
      <c r="P768" s="21"/>
      <c r="Q768" s="23" t="str">
        <f t="shared" si="24"/>
        <v/>
      </c>
      <c r="R768" s="7"/>
      <c r="S768" s="7"/>
      <c r="W768" s="7" t="str">
        <f t="shared" si="25"/>
        <v/>
      </c>
    </row>
    <row r="769" spans="2:23" customFormat="1">
      <c r="B769" s="71"/>
      <c r="C769" s="71"/>
      <c r="D769" s="72"/>
      <c r="E769" s="12"/>
      <c r="F769" s="107"/>
      <c r="G769" s="11"/>
      <c r="H769" s="13"/>
      <c r="I769" s="14"/>
      <c r="J769" s="13"/>
      <c r="K769" s="10"/>
      <c r="L769" s="10"/>
      <c r="M769" s="7"/>
      <c r="N769" s="10"/>
      <c r="O769" s="1"/>
      <c r="P769" s="21"/>
      <c r="Q769" s="23" t="str">
        <f t="shared" si="24"/>
        <v/>
      </c>
      <c r="R769" s="7"/>
      <c r="S769" s="7"/>
      <c r="W769" s="7" t="str">
        <f t="shared" si="25"/>
        <v/>
      </c>
    </row>
    <row r="770" spans="2:23" customFormat="1">
      <c r="B770" s="71"/>
      <c r="C770" s="71"/>
      <c r="D770" s="72"/>
      <c r="E770" s="12"/>
      <c r="F770" s="107"/>
      <c r="G770" s="11"/>
      <c r="H770" s="13"/>
      <c r="I770" s="14"/>
      <c r="J770" s="13"/>
      <c r="K770" s="10"/>
      <c r="L770" s="10"/>
      <c r="M770" s="7"/>
      <c r="N770" s="10"/>
      <c r="O770" s="1"/>
      <c r="P770" s="21"/>
      <c r="Q770" s="23" t="str">
        <f t="shared" si="24"/>
        <v/>
      </c>
      <c r="R770" s="7"/>
      <c r="S770" s="7"/>
      <c r="W770" s="7" t="str">
        <f t="shared" si="25"/>
        <v/>
      </c>
    </row>
    <row r="771" spans="2:23" customFormat="1">
      <c r="B771" s="71"/>
      <c r="C771" s="71"/>
      <c r="D771" s="72"/>
      <c r="E771" s="12"/>
      <c r="F771" s="107"/>
      <c r="G771" s="11"/>
      <c r="H771" s="13"/>
      <c r="I771" s="14"/>
      <c r="J771" s="13"/>
      <c r="K771" s="10"/>
      <c r="L771" s="10"/>
      <c r="M771" s="7"/>
      <c r="N771" s="10"/>
      <c r="O771" s="1"/>
      <c r="P771" s="21"/>
      <c r="Q771" s="23" t="str">
        <f t="shared" si="24"/>
        <v/>
      </c>
      <c r="R771" s="7"/>
      <c r="S771" s="7"/>
      <c r="W771" s="7" t="str">
        <f t="shared" si="25"/>
        <v/>
      </c>
    </row>
    <row r="772" spans="2:23" customFormat="1">
      <c r="B772" s="71"/>
      <c r="C772" s="71"/>
      <c r="D772" s="72"/>
      <c r="E772" s="12"/>
      <c r="F772" s="107"/>
      <c r="G772" s="11"/>
      <c r="H772" s="13"/>
      <c r="I772" s="14"/>
      <c r="J772" s="13"/>
      <c r="K772" s="10"/>
      <c r="L772" s="10"/>
      <c r="M772" s="7"/>
      <c r="N772" s="10"/>
      <c r="O772" s="1"/>
      <c r="P772" s="21"/>
      <c r="Q772" s="23" t="str">
        <f t="shared" si="24"/>
        <v/>
      </c>
      <c r="R772" s="7"/>
      <c r="S772" s="7"/>
      <c r="W772" s="7" t="str">
        <f t="shared" si="25"/>
        <v/>
      </c>
    </row>
    <row r="773" spans="2:23" customFormat="1">
      <c r="B773" s="71"/>
      <c r="C773" s="71"/>
      <c r="D773" s="72"/>
      <c r="E773" s="12"/>
      <c r="F773" s="107"/>
      <c r="G773" s="11"/>
      <c r="H773" s="13"/>
      <c r="I773" s="14"/>
      <c r="J773" s="13"/>
      <c r="K773" s="10"/>
      <c r="L773" s="10"/>
      <c r="M773" s="7"/>
      <c r="N773" s="10"/>
      <c r="O773" s="1"/>
      <c r="P773" s="21"/>
      <c r="Q773" s="23" t="str">
        <f t="shared" si="24"/>
        <v/>
      </c>
      <c r="R773" s="7"/>
      <c r="S773" s="7"/>
      <c r="W773" s="7" t="str">
        <f t="shared" si="25"/>
        <v/>
      </c>
    </row>
    <row r="774" spans="2:23" customFormat="1">
      <c r="B774" s="71"/>
      <c r="C774" s="71"/>
      <c r="D774" s="72"/>
      <c r="E774" s="12"/>
      <c r="F774" s="107"/>
      <c r="G774" s="11"/>
      <c r="H774" s="13"/>
      <c r="I774" s="14"/>
      <c r="J774" s="13"/>
      <c r="K774" s="10"/>
      <c r="L774" s="10"/>
      <c r="M774" s="7"/>
      <c r="N774" s="10"/>
      <c r="O774" s="1"/>
      <c r="P774" s="21"/>
      <c r="Q774" s="23" t="str">
        <f t="shared" si="24"/>
        <v/>
      </c>
      <c r="R774" s="7"/>
      <c r="S774" s="7"/>
      <c r="W774" s="7" t="str">
        <f t="shared" si="25"/>
        <v/>
      </c>
    </row>
    <row r="775" spans="2:23" customFormat="1">
      <c r="B775" s="71"/>
      <c r="C775" s="71"/>
      <c r="D775" s="72"/>
      <c r="E775" s="12"/>
      <c r="F775" s="107"/>
      <c r="G775" s="11"/>
      <c r="H775" s="13"/>
      <c r="I775" s="14"/>
      <c r="J775" s="13"/>
      <c r="K775" s="10"/>
      <c r="L775" s="10"/>
      <c r="M775" s="7"/>
      <c r="N775" s="10"/>
      <c r="O775" s="1"/>
      <c r="P775" s="21"/>
      <c r="Q775" s="23" t="str">
        <f t="shared" si="24"/>
        <v/>
      </c>
      <c r="R775" s="7"/>
      <c r="S775" s="7"/>
      <c r="W775" s="7" t="str">
        <f t="shared" si="25"/>
        <v/>
      </c>
    </row>
    <row r="776" spans="2:23" customFormat="1">
      <c r="B776" s="71"/>
      <c r="C776" s="71"/>
      <c r="D776" s="72"/>
      <c r="E776" s="12"/>
      <c r="F776" s="107"/>
      <c r="G776" s="11"/>
      <c r="H776" s="13"/>
      <c r="I776" s="14"/>
      <c r="J776" s="13"/>
      <c r="K776" s="10"/>
      <c r="L776" s="10"/>
      <c r="M776" s="7"/>
      <c r="N776" s="10"/>
      <c r="O776" s="1"/>
      <c r="P776" s="21"/>
      <c r="Q776" s="23" t="str">
        <f t="shared" si="24"/>
        <v/>
      </c>
      <c r="R776" s="7"/>
      <c r="S776" s="7"/>
      <c r="W776" s="7" t="str">
        <f t="shared" si="25"/>
        <v/>
      </c>
    </row>
    <row r="777" spans="2:23" customFormat="1">
      <c r="B777" s="71"/>
      <c r="C777" s="71"/>
      <c r="D777" s="72"/>
      <c r="E777" s="12"/>
      <c r="F777" s="107"/>
      <c r="G777" s="11"/>
      <c r="H777" s="13"/>
      <c r="I777" s="14"/>
      <c r="J777" s="13"/>
      <c r="K777" s="10"/>
      <c r="L777" s="10"/>
      <c r="M777" s="7"/>
      <c r="N777" s="10"/>
      <c r="O777" s="1"/>
      <c r="P777" s="21"/>
      <c r="Q777" s="23" t="str">
        <f t="shared" si="24"/>
        <v/>
      </c>
      <c r="R777" s="7"/>
      <c r="S777" s="7"/>
      <c r="W777" s="7" t="str">
        <f t="shared" si="25"/>
        <v/>
      </c>
    </row>
    <row r="778" spans="2:23" customFormat="1">
      <c r="B778" s="71"/>
      <c r="C778" s="71"/>
      <c r="D778" s="72"/>
      <c r="E778" s="12"/>
      <c r="F778" s="107"/>
      <c r="G778" s="11"/>
      <c r="H778" s="13"/>
      <c r="I778" s="14"/>
      <c r="J778" s="13"/>
      <c r="K778" s="10"/>
      <c r="L778" s="10"/>
      <c r="M778" s="7"/>
      <c r="N778" s="10"/>
      <c r="O778" s="1"/>
      <c r="P778" s="21"/>
      <c r="Q778" s="23" t="str">
        <f t="shared" si="24"/>
        <v/>
      </c>
      <c r="R778" s="7"/>
      <c r="S778" s="7"/>
      <c r="W778" s="7" t="str">
        <f t="shared" si="25"/>
        <v/>
      </c>
    </row>
    <row r="779" spans="2:23" customFormat="1">
      <c r="B779" s="71"/>
      <c r="C779" s="71"/>
      <c r="D779" s="72"/>
      <c r="E779" s="12"/>
      <c r="F779" s="107"/>
      <c r="G779" s="11"/>
      <c r="H779" s="13"/>
      <c r="I779" s="14"/>
      <c r="J779" s="13"/>
      <c r="K779" s="10"/>
      <c r="L779" s="10"/>
      <c r="M779" s="7"/>
      <c r="N779" s="10"/>
      <c r="O779" s="1"/>
      <c r="P779" s="21"/>
      <c r="Q779" s="23" t="str">
        <f t="shared" si="24"/>
        <v/>
      </c>
      <c r="R779" s="7"/>
      <c r="S779" s="7"/>
      <c r="W779" s="7" t="str">
        <f t="shared" si="25"/>
        <v/>
      </c>
    </row>
    <row r="780" spans="2:23" customFormat="1">
      <c r="B780" s="71"/>
      <c r="C780" s="71"/>
      <c r="D780" s="72"/>
      <c r="E780" s="12"/>
      <c r="F780" s="107"/>
      <c r="G780" s="11"/>
      <c r="H780" s="13"/>
      <c r="I780" s="14"/>
      <c r="J780" s="13"/>
      <c r="K780" s="10"/>
      <c r="L780" s="10"/>
      <c r="M780" s="7"/>
      <c r="N780" s="10"/>
      <c r="O780" s="1"/>
      <c r="P780" s="21"/>
      <c r="Q780" s="23" t="str">
        <f t="shared" si="24"/>
        <v/>
      </c>
      <c r="R780" s="7"/>
      <c r="S780" s="7"/>
      <c r="W780" s="7" t="str">
        <f t="shared" si="25"/>
        <v/>
      </c>
    </row>
    <row r="781" spans="2:23" customFormat="1">
      <c r="B781" s="71"/>
      <c r="C781" s="71"/>
      <c r="D781" s="72"/>
      <c r="E781" s="12"/>
      <c r="F781" s="107"/>
      <c r="G781" s="11"/>
      <c r="H781" s="13"/>
      <c r="I781" s="14"/>
      <c r="J781" s="13"/>
      <c r="K781" s="10"/>
      <c r="L781" s="10"/>
      <c r="M781" s="7"/>
      <c r="N781" s="10"/>
      <c r="O781" s="1"/>
      <c r="P781" s="21"/>
      <c r="Q781" s="23" t="str">
        <f t="shared" si="24"/>
        <v/>
      </c>
      <c r="R781" s="7"/>
      <c r="S781" s="7"/>
      <c r="W781" s="7" t="str">
        <f t="shared" si="25"/>
        <v/>
      </c>
    </row>
    <row r="782" spans="2:23" customFormat="1">
      <c r="B782" s="71"/>
      <c r="C782" s="71"/>
      <c r="D782" s="72"/>
      <c r="E782" s="12"/>
      <c r="F782" s="107"/>
      <c r="G782" s="11"/>
      <c r="H782" s="13"/>
      <c r="I782" s="14"/>
      <c r="J782" s="13"/>
      <c r="K782" s="10"/>
      <c r="L782" s="10"/>
      <c r="M782" s="7"/>
      <c r="N782" s="10"/>
      <c r="O782" s="1"/>
      <c r="P782" s="21"/>
      <c r="Q782" s="23" t="str">
        <f t="shared" si="24"/>
        <v/>
      </c>
      <c r="R782" s="7"/>
      <c r="S782" s="7"/>
      <c r="W782" s="7" t="str">
        <f t="shared" si="25"/>
        <v/>
      </c>
    </row>
    <row r="783" spans="2:23" customFormat="1">
      <c r="B783" s="71"/>
      <c r="C783" s="71"/>
      <c r="D783" s="72"/>
      <c r="E783" s="12"/>
      <c r="F783" s="107"/>
      <c r="G783" s="11"/>
      <c r="H783" s="13"/>
      <c r="I783" s="14"/>
      <c r="J783" s="13"/>
      <c r="K783" s="10"/>
      <c r="L783" s="10"/>
      <c r="M783" s="7"/>
      <c r="N783" s="10"/>
      <c r="O783" s="1"/>
      <c r="P783" s="21"/>
      <c r="Q783" s="23" t="str">
        <f t="shared" si="24"/>
        <v/>
      </c>
      <c r="R783" s="7"/>
      <c r="S783" s="7"/>
      <c r="W783" s="7" t="str">
        <f t="shared" si="25"/>
        <v/>
      </c>
    </row>
    <row r="784" spans="2:23" customFormat="1">
      <c r="B784" s="71"/>
      <c r="C784" s="71"/>
      <c r="D784" s="72"/>
      <c r="E784" s="12"/>
      <c r="F784" s="107"/>
      <c r="G784" s="11"/>
      <c r="H784" s="13"/>
      <c r="I784" s="14"/>
      <c r="J784" s="13"/>
      <c r="K784" s="10"/>
      <c r="L784" s="10"/>
      <c r="M784" s="7"/>
      <c r="N784" s="10"/>
      <c r="O784" s="1"/>
      <c r="P784" s="21"/>
      <c r="Q784" s="23" t="str">
        <f t="shared" si="24"/>
        <v/>
      </c>
      <c r="R784" s="7"/>
      <c r="S784" s="7"/>
      <c r="W784" s="7" t="str">
        <f t="shared" si="25"/>
        <v/>
      </c>
    </row>
    <row r="785" spans="2:23" customFormat="1">
      <c r="B785" s="71"/>
      <c r="C785" s="71"/>
      <c r="D785" s="72"/>
      <c r="E785" s="12"/>
      <c r="F785" s="107"/>
      <c r="G785" s="11"/>
      <c r="H785" s="13"/>
      <c r="I785" s="14"/>
      <c r="J785" s="13"/>
      <c r="K785" s="10"/>
      <c r="L785" s="10"/>
      <c r="M785" s="7"/>
      <c r="N785" s="10"/>
      <c r="O785" s="1"/>
      <c r="P785" s="21"/>
      <c r="Q785" s="23" t="str">
        <f t="shared" si="24"/>
        <v/>
      </c>
      <c r="R785" s="7"/>
      <c r="S785" s="7"/>
      <c r="W785" s="7" t="str">
        <f t="shared" si="25"/>
        <v/>
      </c>
    </row>
    <row r="786" spans="2:23" customFormat="1">
      <c r="B786" s="71"/>
      <c r="C786" s="71"/>
      <c r="D786" s="72"/>
      <c r="E786" s="12"/>
      <c r="F786" s="107"/>
      <c r="G786" s="11"/>
      <c r="H786" s="13"/>
      <c r="I786" s="14"/>
      <c r="J786" s="13"/>
      <c r="K786" s="10"/>
      <c r="L786" s="10"/>
      <c r="M786" s="7"/>
      <c r="N786" s="10"/>
      <c r="O786" s="1"/>
      <c r="P786" s="21"/>
      <c r="Q786" s="23" t="str">
        <f t="shared" si="24"/>
        <v/>
      </c>
      <c r="R786" s="7"/>
      <c r="S786" s="7"/>
      <c r="W786" s="7" t="str">
        <f t="shared" si="25"/>
        <v/>
      </c>
    </row>
    <row r="787" spans="2:23" customFormat="1">
      <c r="B787" s="71"/>
      <c r="C787" s="71"/>
      <c r="D787" s="72"/>
      <c r="E787" s="12"/>
      <c r="F787" s="107"/>
      <c r="G787" s="11"/>
      <c r="H787" s="13"/>
      <c r="I787" s="14"/>
      <c r="J787" s="13"/>
      <c r="K787" s="10"/>
      <c r="L787" s="10"/>
      <c r="M787" s="7"/>
      <c r="N787" s="10"/>
      <c r="O787" s="1"/>
      <c r="P787" s="21"/>
      <c r="Q787" s="23" t="str">
        <f t="shared" si="24"/>
        <v/>
      </c>
      <c r="R787" s="7"/>
      <c r="S787" s="7"/>
      <c r="W787" s="7" t="str">
        <f t="shared" si="25"/>
        <v/>
      </c>
    </row>
    <row r="788" spans="2:23" customFormat="1">
      <c r="B788" s="71"/>
      <c r="C788" s="71"/>
      <c r="D788" s="72"/>
      <c r="E788" s="12"/>
      <c r="F788" s="107"/>
      <c r="G788" s="11"/>
      <c r="H788" s="13"/>
      <c r="I788" s="14"/>
      <c r="J788" s="13"/>
      <c r="K788" s="10"/>
      <c r="L788" s="10"/>
      <c r="M788" s="7"/>
      <c r="N788" s="10"/>
      <c r="O788" s="1"/>
      <c r="P788" s="21"/>
      <c r="Q788" s="23" t="str">
        <f t="shared" si="24"/>
        <v/>
      </c>
      <c r="R788" s="7"/>
      <c r="S788" s="7"/>
      <c r="W788" s="7" t="str">
        <f t="shared" si="25"/>
        <v/>
      </c>
    </row>
    <row r="789" spans="2:23" customFormat="1">
      <c r="B789" s="71"/>
      <c r="C789" s="71"/>
      <c r="D789" s="72"/>
      <c r="E789" s="12"/>
      <c r="F789" s="107"/>
      <c r="G789" s="11"/>
      <c r="H789" s="13"/>
      <c r="I789" s="14"/>
      <c r="J789" s="13"/>
      <c r="K789" s="10"/>
      <c r="L789" s="10"/>
      <c r="M789" s="7"/>
      <c r="N789" s="10"/>
      <c r="O789" s="1"/>
      <c r="P789" s="21"/>
      <c r="Q789" s="23" t="str">
        <f t="shared" si="24"/>
        <v/>
      </c>
      <c r="R789" s="7"/>
      <c r="S789" s="7"/>
      <c r="W789" s="7" t="str">
        <f t="shared" si="25"/>
        <v/>
      </c>
    </row>
    <row r="790" spans="2:23" customFormat="1">
      <c r="B790" s="71"/>
      <c r="C790" s="71"/>
      <c r="D790" s="72"/>
      <c r="E790" s="12"/>
      <c r="F790" s="107"/>
      <c r="G790" s="11"/>
      <c r="H790" s="13"/>
      <c r="I790" s="14"/>
      <c r="J790" s="13"/>
      <c r="K790" s="10"/>
      <c r="L790" s="10"/>
      <c r="M790" s="7"/>
      <c r="N790" s="10"/>
      <c r="O790" s="1"/>
      <c r="P790" s="21"/>
      <c r="Q790" s="23" t="str">
        <f t="shared" si="24"/>
        <v/>
      </c>
      <c r="R790" s="7"/>
      <c r="S790" s="7"/>
      <c r="W790" s="7" t="str">
        <f t="shared" si="25"/>
        <v/>
      </c>
    </row>
    <row r="791" spans="2:23" customFormat="1">
      <c r="B791" s="71"/>
      <c r="C791" s="71"/>
      <c r="D791" s="72"/>
      <c r="E791" s="12"/>
      <c r="F791" s="107"/>
      <c r="G791" s="11"/>
      <c r="H791" s="13"/>
      <c r="I791" s="14"/>
      <c r="J791" s="13"/>
      <c r="K791" s="10"/>
      <c r="L791" s="10"/>
      <c r="M791" s="7"/>
      <c r="N791" s="10"/>
      <c r="O791" s="1"/>
      <c r="P791" s="21"/>
      <c r="Q791" s="23" t="str">
        <f t="shared" ref="Q791:Q811" si="26">IF(P791="Exemplary", "None; meets or exceeds all minimum requirements.",IF(P791="Strong", "Minor gaps in execution or periodic review; improvement needed.",IF(P791="Developing", "Partial compliance; gaps in documentation, roles, or execution.",IF(P791="Emerging", "Informal or incomplete implementation; missing formal documents or procedures.",IF(P791="Critical", "Control not initiated; no documentation or designation.","")))))</f>
        <v/>
      </c>
      <c r="R791" s="7"/>
      <c r="S791" s="7"/>
      <c r="W791" s="7" t="str">
        <f t="shared" si="25"/>
        <v/>
      </c>
    </row>
    <row r="792" spans="2:23" customFormat="1">
      <c r="B792" s="71"/>
      <c r="C792" s="71"/>
      <c r="D792" s="72"/>
      <c r="E792" s="12"/>
      <c r="F792" s="107"/>
      <c r="G792" s="11"/>
      <c r="H792" s="13"/>
      <c r="I792" s="14"/>
      <c r="J792" s="13"/>
      <c r="K792" s="10"/>
      <c r="L792" s="10"/>
      <c r="M792" s="7"/>
      <c r="N792" s="10"/>
      <c r="O792" s="1"/>
      <c r="P792" s="21"/>
      <c r="Q792" s="23" t="str">
        <f t="shared" si="26"/>
        <v/>
      </c>
      <c r="R792" s="7"/>
      <c r="S792" s="7"/>
      <c r="W792" s="7" t="str">
        <f t="shared" ref="W792:W811" si="27">IFERROR(VALUE(MID(P792,7,1)),"")</f>
        <v/>
      </c>
    </row>
    <row r="793" spans="2:23" customFormat="1">
      <c r="B793" s="71"/>
      <c r="C793" s="71"/>
      <c r="D793" s="72"/>
      <c r="E793" s="12"/>
      <c r="F793" s="107"/>
      <c r="G793" s="11"/>
      <c r="H793" s="13"/>
      <c r="I793" s="14"/>
      <c r="J793" s="13"/>
      <c r="K793" s="10"/>
      <c r="L793" s="10"/>
      <c r="M793" s="7"/>
      <c r="N793" s="10"/>
      <c r="O793" s="1"/>
      <c r="P793" s="21"/>
      <c r="Q793" s="23" t="str">
        <f t="shared" si="26"/>
        <v/>
      </c>
      <c r="R793" s="7"/>
      <c r="S793" s="7"/>
      <c r="W793" s="7" t="str">
        <f t="shared" si="27"/>
        <v/>
      </c>
    </row>
    <row r="794" spans="2:23" customFormat="1">
      <c r="B794" s="71"/>
      <c r="C794" s="71"/>
      <c r="D794" s="72"/>
      <c r="E794" s="12"/>
      <c r="F794" s="107"/>
      <c r="G794" s="11"/>
      <c r="H794" s="13"/>
      <c r="I794" s="14"/>
      <c r="J794" s="13"/>
      <c r="K794" s="10"/>
      <c r="L794" s="10"/>
      <c r="M794" s="7"/>
      <c r="N794" s="10"/>
      <c r="O794" s="1"/>
      <c r="P794" s="21"/>
      <c r="Q794" s="23" t="str">
        <f t="shared" si="26"/>
        <v/>
      </c>
      <c r="R794" s="7"/>
      <c r="S794" s="7"/>
      <c r="W794" s="7" t="str">
        <f t="shared" si="27"/>
        <v/>
      </c>
    </row>
    <row r="795" spans="2:23" customFormat="1">
      <c r="B795" s="71"/>
      <c r="C795" s="71"/>
      <c r="D795" s="72"/>
      <c r="E795" s="12"/>
      <c r="F795" s="107"/>
      <c r="G795" s="11"/>
      <c r="H795" s="13"/>
      <c r="I795" s="14"/>
      <c r="J795" s="13"/>
      <c r="K795" s="10"/>
      <c r="L795" s="10"/>
      <c r="M795" s="7"/>
      <c r="N795" s="10"/>
      <c r="O795" s="1"/>
      <c r="P795" s="21"/>
      <c r="Q795" s="23" t="str">
        <f t="shared" si="26"/>
        <v/>
      </c>
      <c r="R795" s="7"/>
      <c r="S795" s="7"/>
      <c r="W795" s="7" t="str">
        <f t="shared" si="27"/>
        <v/>
      </c>
    </row>
    <row r="796" spans="2:23" customFormat="1">
      <c r="B796" s="71"/>
      <c r="C796" s="71"/>
      <c r="D796" s="72"/>
      <c r="E796" s="12"/>
      <c r="F796" s="107"/>
      <c r="G796" s="11"/>
      <c r="H796" s="13"/>
      <c r="I796" s="14"/>
      <c r="J796" s="13"/>
      <c r="K796" s="10"/>
      <c r="L796" s="10"/>
      <c r="M796" s="7"/>
      <c r="N796" s="10"/>
      <c r="O796" s="1"/>
      <c r="P796" s="21"/>
      <c r="Q796" s="23" t="str">
        <f t="shared" si="26"/>
        <v/>
      </c>
      <c r="R796" s="7"/>
      <c r="S796" s="7"/>
      <c r="W796" s="7" t="str">
        <f t="shared" si="27"/>
        <v/>
      </c>
    </row>
    <row r="797" spans="2:23" customFormat="1">
      <c r="B797" s="71"/>
      <c r="C797" s="71"/>
      <c r="D797" s="72"/>
      <c r="E797" s="12"/>
      <c r="F797" s="107"/>
      <c r="G797" s="11"/>
      <c r="H797" s="13"/>
      <c r="I797" s="14"/>
      <c r="J797" s="13"/>
      <c r="K797" s="10"/>
      <c r="L797" s="10"/>
      <c r="M797" s="7"/>
      <c r="N797" s="10"/>
      <c r="O797" s="1"/>
      <c r="P797" s="21"/>
      <c r="Q797" s="23" t="str">
        <f t="shared" si="26"/>
        <v/>
      </c>
      <c r="R797" s="7"/>
      <c r="S797" s="7"/>
      <c r="W797" s="7" t="str">
        <f t="shared" si="27"/>
        <v/>
      </c>
    </row>
    <row r="798" spans="2:23" customFormat="1">
      <c r="B798" s="71"/>
      <c r="C798" s="71"/>
      <c r="D798" s="72"/>
      <c r="E798" s="12"/>
      <c r="F798" s="107"/>
      <c r="G798" s="11"/>
      <c r="H798" s="13"/>
      <c r="I798" s="14"/>
      <c r="J798" s="13"/>
      <c r="K798" s="10"/>
      <c r="L798" s="10"/>
      <c r="M798" s="7"/>
      <c r="N798" s="10"/>
      <c r="O798" s="1"/>
      <c r="P798" s="21"/>
      <c r="Q798" s="23" t="str">
        <f t="shared" si="26"/>
        <v/>
      </c>
      <c r="R798" s="7"/>
      <c r="S798" s="7"/>
      <c r="W798" s="7" t="str">
        <f t="shared" si="27"/>
        <v/>
      </c>
    </row>
    <row r="799" spans="2:23" customFormat="1">
      <c r="B799" s="71"/>
      <c r="C799" s="71"/>
      <c r="D799" s="72"/>
      <c r="E799" s="12"/>
      <c r="F799" s="107"/>
      <c r="G799" s="11"/>
      <c r="H799" s="13"/>
      <c r="I799" s="14"/>
      <c r="J799" s="13"/>
      <c r="K799" s="10"/>
      <c r="L799" s="10"/>
      <c r="M799" s="7"/>
      <c r="N799" s="10"/>
      <c r="O799" s="1"/>
      <c r="P799" s="21"/>
      <c r="Q799" s="23" t="str">
        <f t="shared" si="26"/>
        <v/>
      </c>
      <c r="R799" s="7"/>
      <c r="S799" s="7"/>
      <c r="W799" s="7" t="str">
        <f t="shared" si="27"/>
        <v/>
      </c>
    </row>
    <row r="800" spans="2:23" customFormat="1">
      <c r="B800" s="71"/>
      <c r="C800" s="71"/>
      <c r="D800" s="72"/>
      <c r="E800" s="12"/>
      <c r="F800" s="107"/>
      <c r="G800" s="11"/>
      <c r="H800" s="13"/>
      <c r="I800" s="14"/>
      <c r="J800" s="13"/>
      <c r="K800" s="10"/>
      <c r="L800" s="10"/>
      <c r="M800" s="7"/>
      <c r="N800" s="10"/>
      <c r="O800" s="1"/>
      <c r="P800" s="21"/>
      <c r="Q800" s="23" t="str">
        <f t="shared" si="26"/>
        <v/>
      </c>
      <c r="R800" s="7"/>
      <c r="S800" s="7"/>
      <c r="W800" s="7" t="str">
        <f t="shared" si="27"/>
        <v/>
      </c>
    </row>
    <row r="801" spans="2:23" customFormat="1">
      <c r="B801" s="71"/>
      <c r="C801" s="71"/>
      <c r="D801" s="72"/>
      <c r="E801" s="12"/>
      <c r="F801" s="107"/>
      <c r="G801" s="11"/>
      <c r="H801" s="13"/>
      <c r="I801" s="14"/>
      <c r="J801" s="13"/>
      <c r="K801" s="10"/>
      <c r="L801" s="10"/>
      <c r="M801" s="7"/>
      <c r="N801" s="10"/>
      <c r="O801" s="1"/>
      <c r="P801" s="21"/>
      <c r="Q801" s="23" t="str">
        <f t="shared" si="26"/>
        <v/>
      </c>
      <c r="R801" s="7"/>
      <c r="S801" s="7"/>
      <c r="W801" s="7" t="str">
        <f t="shared" si="27"/>
        <v/>
      </c>
    </row>
    <row r="802" spans="2:23" customFormat="1">
      <c r="B802" s="71"/>
      <c r="C802" s="71"/>
      <c r="D802" s="72"/>
      <c r="E802" s="12"/>
      <c r="F802" s="107"/>
      <c r="G802" s="11"/>
      <c r="H802" s="13"/>
      <c r="I802" s="14"/>
      <c r="J802" s="13"/>
      <c r="K802" s="10"/>
      <c r="L802" s="10"/>
      <c r="M802" s="7"/>
      <c r="N802" s="10"/>
      <c r="O802" s="1"/>
      <c r="P802" s="21"/>
      <c r="Q802" s="23" t="str">
        <f t="shared" si="26"/>
        <v/>
      </c>
      <c r="R802" s="7"/>
      <c r="S802" s="7"/>
      <c r="W802" s="7" t="str">
        <f t="shared" si="27"/>
        <v/>
      </c>
    </row>
    <row r="803" spans="2:23" customFormat="1">
      <c r="B803" s="71"/>
      <c r="C803" s="71"/>
      <c r="D803" s="72"/>
      <c r="E803" s="12"/>
      <c r="F803" s="107"/>
      <c r="G803" s="11"/>
      <c r="H803" s="13"/>
      <c r="I803" s="14"/>
      <c r="J803" s="13"/>
      <c r="K803" s="10"/>
      <c r="L803" s="10"/>
      <c r="M803" s="7"/>
      <c r="N803" s="10"/>
      <c r="O803" s="1"/>
      <c r="P803" s="21"/>
      <c r="Q803" s="23" t="str">
        <f t="shared" si="26"/>
        <v/>
      </c>
      <c r="R803" s="7"/>
      <c r="S803" s="7"/>
      <c r="W803" s="7" t="str">
        <f t="shared" si="27"/>
        <v/>
      </c>
    </row>
    <row r="804" spans="2:23" customFormat="1">
      <c r="B804" s="71"/>
      <c r="C804" s="71"/>
      <c r="D804" s="72"/>
      <c r="E804" s="12"/>
      <c r="F804" s="107"/>
      <c r="G804" s="11"/>
      <c r="H804" s="13"/>
      <c r="I804" s="14"/>
      <c r="J804" s="13"/>
      <c r="K804" s="10"/>
      <c r="L804" s="10"/>
      <c r="M804" s="7"/>
      <c r="N804" s="10"/>
      <c r="O804" s="1"/>
      <c r="P804" s="21"/>
      <c r="Q804" s="23" t="str">
        <f t="shared" si="26"/>
        <v/>
      </c>
      <c r="R804" s="7"/>
      <c r="S804" s="7"/>
      <c r="W804" s="7" t="str">
        <f t="shared" si="27"/>
        <v/>
      </c>
    </row>
    <row r="805" spans="2:23" customFormat="1">
      <c r="B805" s="71"/>
      <c r="C805" s="71"/>
      <c r="D805" s="72"/>
      <c r="E805" s="12"/>
      <c r="F805" s="107"/>
      <c r="G805" s="11"/>
      <c r="H805" s="13"/>
      <c r="I805" s="14"/>
      <c r="J805" s="13"/>
      <c r="K805" s="10"/>
      <c r="L805" s="10"/>
      <c r="M805" s="7"/>
      <c r="N805" s="10"/>
      <c r="O805" s="1"/>
      <c r="P805" s="21"/>
      <c r="Q805" s="23" t="str">
        <f t="shared" si="26"/>
        <v/>
      </c>
      <c r="R805" s="7"/>
      <c r="S805" s="7"/>
      <c r="W805" s="7" t="str">
        <f t="shared" si="27"/>
        <v/>
      </c>
    </row>
    <row r="806" spans="2:23" customFormat="1">
      <c r="B806" s="71"/>
      <c r="C806" s="71"/>
      <c r="D806" s="72"/>
      <c r="E806" s="12"/>
      <c r="F806" s="107"/>
      <c r="G806" s="11"/>
      <c r="H806" s="13"/>
      <c r="I806" s="14"/>
      <c r="J806" s="13"/>
      <c r="K806" s="10"/>
      <c r="L806" s="10"/>
      <c r="M806" s="7"/>
      <c r="N806" s="10"/>
      <c r="O806" s="1"/>
      <c r="P806" s="21"/>
      <c r="Q806" s="23" t="str">
        <f t="shared" si="26"/>
        <v/>
      </c>
      <c r="R806" s="7"/>
      <c r="S806" s="7"/>
      <c r="W806" s="7" t="str">
        <f t="shared" si="27"/>
        <v/>
      </c>
    </row>
    <row r="807" spans="2:23" customFormat="1">
      <c r="B807" s="71"/>
      <c r="C807" s="71"/>
      <c r="D807" s="72"/>
      <c r="E807" s="12"/>
      <c r="F807" s="107"/>
      <c r="G807" s="11"/>
      <c r="H807" s="13"/>
      <c r="I807" s="14"/>
      <c r="J807" s="13"/>
      <c r="K807" s="10"/>
      <c r="L807" s="10"/>
      <c r="M807" s="7"/>
      <c r="N807" s="10"/>
      <c r="O807" s="1"/>
      <c r="P807" s="21"/>
      <c r="Q807" s="23" t="str">
        <f t="shared" si="26"/>
        <v/>
      </c>
      <c r="R807" s="7"/>
      <c r="S807" s="7"/>
      <c r="W807" s="7" t="str">
        <f t="shared" si="27"/>
        <v/>
      </c>
    </row>
    <row r="808" spans="2:23" customFormat="1">
      <c r="B808" s="71"/>
      <c r="C808" s="71"/>
      <c r="D808" s="72"/>
      <c r="E808" s="12"/>
      <c r="F808" s="107"/>
      <c r="G808" s="11"/>
      <c r="H808" s="13"/>
      <c r="I808" s="14"/>
      <c r="J808" s="13"/>
      <c r="K808" s="10"/>
      <c r="L808" s="10"/>
      <c r="M808" s="7"/>
      <c r="N808" s="10"/>
      <c r="O808" s="1"/>
      <c r="P808" s="21"/>
      <c r="Q808" s="23" t="str">
        <f t="shared" si="26"/>
        <v/>
      </c>
      <c r="R808" s="7"/>
      <c r="S808" s="7"/>
      <c r="W808" s="7" t="str">
        <f t="shared" si="27"/>
        <v/>
      </c>
    </row>
    <row r="809" spans="2:23" customFormat="1">
      <c r="B809" s="71"/>
      <c r="C809" s="71"/>
      <c r="D809" s="72"/>
      <c r="E809" s="12"/>
      <c r="F809" s="107"/>
      <c r="G809" s="11"/>
      <c r="H809" s="13"/>
      <c r="I809" s="14"/>
      <c r="J809" s="13"/>
      <c r="K809" s="10"/>
      <c r="L809" s="10"/>
      <c r="M809" s="7"/>
      <c r="N809" s="10"/>
      <c r="O809" s="1"/>
      <c r="P809" s="21"/>
      <c r="Q809" s="23" t="str">
        <f t="shared" si="26"/>
        <v/>
      </c>
      <c r="R809" s="7"/>
      <c r="S809" s="7"/>
      <c r="W809" s="7" t="str">
        <f t="shared" si="27"/>
        <v/>
      </c>
    </row>
    <row r="810" spans="2:23" customFormat="1">
      <c r="B810" s="71"/>
      <c r="C810" s="71"/>
      <c r="D810" s="72"/>
      <c r="E810" s="12"/>
      <c r="F810" s="107"/>
      <c r="G810" s="11"/>
      <c r="H810" s="13"/>
      <c r="I810" s="14"/>
      <c r="J810" s="13"/>
      <c r="K810" s="10"/>
      <c r="L810" s="10"/>
      <c r="M810" s="7"/>
      <c r="N810" s="10"/>
      <c r="O810" s="1"/>
      <c r="P810" s="21"/>
      <c r="Q810" s="23" t="str">
        <f t="shared" si="26"/>
        <v/>
      </c>
      <c r="R810" s="7"/>
      <c r="S810" s="7"/>
      <c r="W810" s="7" t="str">
        <f t="shared" si="27"/>
        <v/>
      </c>
    </row>
    <row r="811" spans="2:23" customFormat="1">
      <c r="B811" s="71"/>
      <c r="C811" s="71"/>
      <c r="D811" s="72"/>
      <c r="E811" s="12"/>
      <c r="F811" s="107"/>
      <c r="G811" s="11"/>
      <c r="H811" s="13"/>
      <c r="I811" s="14"/>
      <c r="J811" s="13"/>
      <c r="K811" s="10"/>
      <c r="L811" s="10"/>
      <c r="M811" s="7"/>
      <c r="N811" s="10"/>
      <c r="O811" s="1"/>
      <c r="P811" s="21"/>
      <c r="Q811" s="23" t="str">
        <f t="shared" si="26"/>
        <v/>
      </c>
      <c r="R811" s="7"/>
      <c r="S811" s="7"/>
      <c r="W811" s="7" t="str">
        <f t="shared" si="27"/>
        <v/>
      </c>
    </row>
  </sheetData>
  <autoFilter ref="B3:W811" xr:uid="{DC765E06-3347-4ABE-A4CC-B32D2177B359}"/>
  <conditionalFormatting sqref="H4:H27">
    <cfRule type="expression" dxfId="20" priority="10">
      <formula>ISNUMBER(SEARCH("not available", H4))</formula>
    </cfRule>
  </conditionalFormatting>
  <conditionalFormatting sqref="I1:I1048576">
    <cfRule type="containsText" dxfId="19" priority="6" operator="containsText" text="pending">
      <formula>NOT(ISERROR(SEARCH("pending",I1)))</formula>
    </cfRule>
    <cfRule type="containsText" dxfId="18" priority="7" operator="containsText" text="provided">
      <formula>NOT(ISERROR(SEARCH("provided",I1)))</formula>
    </cfRule>
    <cfRule type="containsText" dxfId="17" priority="8" operator="containsText" text="Not Applicable">
      <formula>NOT(ISERROR(SEARCH("Not Applicable",I1)))</formula>
    </cfRule>
    <cfRule type="containsText" dxfId="16" priority="9" operator="containsText" text="Closed">
      <formula>NOT(ISERROR(SEARCH("Closed",I1)))</formula>
    </cfRule>
  </conditionalFormatting>
  <conditionalFormatting sqref="M4:M27">
    <cfRule type="containsText" dxfId="15" priority="1" operator="containsText" text="L1">
      <formula>NOT(ISERROR(SEARCH("L1",M4)))</formula>
    </cfRule>
    <cfRule type="containsText" dxfId="14" priority="2" operator="containsText" text="Ongoing">
      <formula>NOT(ISERROR(SEARCH("Ongoing",M4)))</formula>
    </cfRule>
    <cfRule type="containsText" dxfId="13" priority="3" operator="containsText" text="Not Applicable">
      <formula>NOT(ISERROR(SEARCH("Not Applicable",M4)))</formula>
    </cfRule>
    <cfRule type="containsText" dxfId="12" priority="4" operator="containsText" text="Not Yet Started">
      <formula>NOT(ISERROR(SEARCH("Not Yet Started",M4)))</formula>
    </cfRule>
    <cfRule type="containsText" dxfId="11" priority="5" operator="containsText" text="Done">
      <formula>NOT(ISERROR(SEARCH("Done",M4)))</formula>
    </cfRule>
  </conditionalFormatting>
  <dataValidations count="8">
    <dataValidation type="list" allowBlank="1" showInputMessage="1" showErrorMessage="1" sqref="K2 K28:K1048576" xr:uid="{FB4C3314-39E2-495A-8539-E95AA5864A27}">
      <formula1>"Mhel Villar, Elimar Pillos, Rhona Ingalla, Not Applicable"</formula1>
    </dataValidation>
    <dataValidation type="list" allowBlank="1" showInputMessage="1" showErrorMessage="1" sqref="O2 O28:O1048576" xr:uid="{21647D80-AB6C-47A6-BD29-5C4121E51A1A}">
      <formula1>"Mon Carla Lagon, Ilamae Palconit"</formula1>
    </dataValidation>
    <dataValidation type="list" allowBlank="1" showInputMessage="1" showErrorMessage="1" sqref="L2:N2 L28:N1048576" xr:uid="{B2120B74-78A4-4C42-83EF-B75563C71CD6}">
      <formula1>"Not yet started, Ongoing, Not Applicable, For L1 review, For final review, Completed"</formula1>
    </dataValidation>
    <dataValidation type="list" allowBlank="1" showInputMessage="1" showErrorMessage="1" sqref="P4:P27" xr:uid="{F899F005-74FB-43EC-B474-F7BEA6A9B853}">
      <formula1>"5,4,3,2,1"</formula1>
    </dataValidation>
    <dataValidation type="list" allowBlank="1" showInputMessage="1" showErrorMessage="1" sqref="N4:N27" xr:uid="{81E0FDDC-53DE-4D58-BE90-8F7FB8B66E83}">
      <formula1>"Not started, Ongoing, Reviewed"</formula1>
    </dataValidation>
    <dataValidation type="list" allowBlank="1" showInputMessage="1" showErrorMessage="1" sqref="S4:S27" xr:uid="{830DFEBA-C8CA-44C7-9D6F-597E8EFC9126}">
      <formula1>"Not Started, In Progress, Accepted, Rejected"</formula1>
    </dataValidation>
    <dataValidation type="list" allowBlank="1" showInputMessage="1" showErrorMessage="1" sqref="M4:M27" xr:uid="{E022125B-78C8-42DB-A7EB-3A4B57AFCF60}">
      <formula1>"Not started, Ongoing, Not Applicable, Completed"</formula1>
    </dataValidation>
    <dataValidation type="list" allowBlank="1" showInputMessage="1" showErrorMessage="1" sqref="I4:I27" xr:uid="{0D1E1B9C-5582-4F0B-AF97-900B6CB1306A}">
      <formula1>"Not Applicable, Pending, Provided, Closed"</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zoomScale="68" zoomScaleNormal="84" workbookViewId="0">
      <selection activeCell="K10" sqref="K10"/>
    </sheetView>
  </sheetViews>
  <sheetFormatPr defaultRowHeight="15" customHeight="1"/>
  <cols>
    <col min="1" max="1" width="10.28515625" customWidth="1"/>
    <col min="2" max="2" width="40.28515625" customWidth="1"/>
    <col min="3" max="7" width="15.85546875" customWidth="1"/>
    <col min="8" max="8" width="19.140625" customWidth="1"/>
    <col min="9" max="10" width="17.28515625" customWidth="1"/>
    <col min="11" max="11" width="21.7109375" customWidth="1"/>
  </cols>
  <sheetData>
    <row r="1" spans="1:12" s="4" customFormat="1" ht="17.25" customHeight="1">
      <c r="A1" s="2"/>
      <c r="B1" s="5"/>
      <c r="C1" s="5"/>
      <c r="D1" s="6"/>
      <c r="E1" s="6"/>
      <c r="F1" s="6"/>
      <c r="G1" s="6"/>
      <c r="H1" s="6"/>
      <c r="I1" s="6"/>
      <c r="J1" s="2"/>
      <c r="K1" s="2"/>
      <c r="L1" s="2"/>
    </row>
    <row r="2" spans="1:12" s="4" customFormat="1" ht="15" customHeight="1">
      <c r="A2" s="2"/>
      <c r="B2" s="176" t="s">
        <v>173</v>
      </c>
      <c r="C2" s="203">
        <f ca="1">TODAY()</f>
        <v>45985</v>
      </c>
      <c r="D2" s="203"/>
      <c r="E2" s="177"/>
      <c r="F2" s="177"/>
      <c r="G2" s="178"/>
      <c r="H2" s="179"/>
      <c r="I2" s="2"/>
      <c r="J2" s="2"/>
    </row>
    <row r="3" spans="1:12" s="4" customFormat="1" ht="24" customHeight="1">
      <c r="B3" s="180" t="s">
        <v>29</v>
      </c>
      <c r="C3" s="105" t="s">
        <v>174</v>
      </c>
      <c r="D3" s="104" t="s">
        <v>175</v>
      </c>
      <c r="E3" s="102" t="s">
        <v>176</v>
      </c>
      <c r="F3" s="103" t="s">
        <v>177</v>
      </c>
      <c r="G3" s="181" t="s">
        <v>178</v>
      </c>
      <c r="H3" s="182" t="s">
        <v>179</v>
      </c>
    </row>
    <row r="4" spans="1:12" s="4" customFormat="1" ht="24" customHeight="1">
      <c r="B4" s="157" t="s">
        <v>65</v>
      </c>
      <c r="C4" s="158">
        <f>C5</f>
        <v>0</v>
      </c>
      <c r="D4" s="171">
        <f>D5</f>
        <v>0</v>
      </c>
      <c r="E4" s="171">
        <f t="shared" ref="E4:G4" si="0">E5</f>
        <v>0</v>
      </c>
      <c r="F4" s="173">
        <f t="shared" si="0"/>
        <v>0</v>
      </c>
      <c r="G4" s="99">
        <f>SUM(Table1[[#This Row],[Not Applicable]:[Closed]])</f>
        <v>0</v>
      </c>
      <c r="H4" s="174" t="e">
        <f>Table1[[#This Row],[Closed]]/Table1[[#This Row],[Total]]</f>
        <v>#DIV/0!</v>
      </c>
    </row>
    <row r="5" spans="1:12" s="4" customFormat="1" ht="18.75" customHeight="1">
      <c r="B5" s="151" t="s">
        <v>33</v>
      </c>
      <c r="C5" s="152">
        <f>COUNTIFS(PRADAR!D:D,Table1[[#This Row],[Privacy Domains]],PRADAR!I:I, "Not Applicable")</f>
        <v>0</v>
      </c>
      <c r="D5" s="152">
        <f>COUNTIFS(PRADAR!D:D,Table1[[#This Row],[Privacy Domains]],PRADAR!I:I, "Pending")</f>
        <v>0</v>
      </c>
      <c r="E5" s="152">
        <f>COUNTIFS(PRADAR!D:D,Table1[[#This Row],[Privacy Domains]],PRADAR!I:I, "Provided")</f>
        <v>0</v>
      </c>
      <c r="F5" s="152">
        <f>COUNTIFS(PRADAR!D:D,Table1[[#This Row],[Privacy Domains]],PRADAR!I:I, "Closed")</f>
        <v>0</v>
      </c>
      <c r="G5" s="175">
        <f>SUM(Table1[[#This Row],[Not Applicable]:[Closed]])</f>
        <v>0</v>
      </c>
      <c r="H5" s="156" t="e">
        <f>Table1[[#This Row],[Closed]]/Table1[[#This Row],[Total]]</f>
        <v>#DIV/0!</v>
      </c>
    </row>
    <row r="6" spans="1:12" s="4" customFormat="1" ht="18.75" customHeight="1">
      <c r="B6" s="163" t="s">
        <v>87</v>
      </c>
      <c r="C6" s="164">
        <f>SUM(C7:C13)</f>
        <v>0</v>
      </c>
      <c r="D6" s="164">
        <f t="shared" ref="D6:G6" si="1">SUM(D7:D13)</f>
        <v>0</v>
      </c>
      <c r="E6" s="164">
        <f t="shared" si="1"/>
        <v>0</v>
      </c>
      <c r="F6" s="164">
        <f t="shared" si="1"/>
        <v>0</v>
      </c>
      <c r="G6" s="164">
        <f t="shared" si="1"/>
        <v>0</v>
      </c>
      <c r="H6" s="172" t="e">
        <f>Table1[[#This Row],[Closed]]/Table1[[#This Row],[Total]]</f>
        <v>#DIV/0!</v>
      </c>
    </row>
    <row r="7" spans="1:12" s="4" customFormat="1" ht="18.75" customHeight="1">
      <c r="B7" s="144" t="s">
        <v>34</v>
      </c>
      <c r="C7" s="100">
        <f>COUNTIFS(PRADAR!D:D,Table1[[#This Row],[Privacy Domains]],PRADAR!I:I, "Not Applicable")</f>
        <v>0</v>
      </c>
      <c r="D7" s="97">
        <f>COUNTIFS(PRADAR!D:D,Table1[[#This Row],[Privacy Domains]],PRADAR!I:I, "Pending")</f>
        <v>0</v>
      </c>
      <c r="E7" s="98">
        <f>COUNTIFS(PRADAR!D:D,Table1[[#This Row],[Privacy Domains]],PRADAR!I:I, "Provided")</f>
        <v>0</v>
      </c>
      <c r="F7" s="97">
        <f>COUNTIFS(PRADAR!D:D,Table1[[#This Row],[Privacy Domains]],PRADAR!I:I, "Closed")</f>
        <v>0</v>
      </c>
      <c r="G7" s="99">
        <f>SUM(Table1[[#This Row],[Not Applicable]:[Closed]])</f>
        <v>0</v>
      </c>
      <c r="H7" s="162" t="e">
        <f>Table1[[#This Row],[Closed]]/Table1[[#This Row],[Total]]</f>
        <v>#DIV/0!</v>
      </c>
    </row>
    <row r="8" spans="1:12" s="4" customFormat="1" ht="18.75" customHeight="1">
      <c r="B8" s="144" t="s">
        <v>35</v>
      </c>
      <c r="C8" s="100">
        <f>COUNTIFS(PRADAR!D:D,Table1[[#This Row],[Privacy Domains]],PRADAR!I:I, "Not Applicable")</f>
        <v>0</v>
      </c>
      <c r="D8" s="97">
        <f>COUNTIFS(PRADAR!D:D,Table1[[#This Row],[Privacy Domains]],PRADAR!I:I, "Pending")</f>
        <v>0</v>
      </c>
      <c r="E8" s="98">
        <f>COUNTIFS(PRADAR!D:D,Table1[[#This Row],[Privacy Domains]],PRADAR!I:I, "Provided")</f>
        <v>0</v>
      </c>
      <c r="F8" s="97">
        <f>COUNTIFS(PRADAR!D:D,Table1[[#This Row],[Privacy Domains]],PRADAR!I:I, "Closed")</f>
        <v>0</v>
      </c>
      <c r="G8" s="99">
        <f>SUM(Table1[[#This Row],[Not Applicable]:[Closed]])</f>
        <v>0</v>
      </c>
      <c r="H8" s="162" t="e">
        <f>Table1[[#This Row],[Closed]]/Table1[[#This Row],[Total]]</f>
        <v>#DIV/0!</v>
      </c>
    </row>
    <row r="9" spans="1:12" s="4" customFormat="1" ht="18.75" customHeight="1">
      <c r="B9" s="144" t="s">
        <v>36</v>
      </c>
      <c r="C9" s="100">
        <f>COUNTIFS(PRADAR!D:D,Table1[[#This Row],[Privacy Domains]],PRADAR!I:I, "Not Applicable")</f>
        <v>0</v>
      </c>
      <c r="D9" s="97">
        <f>COUNTIFS(PRADAR!D:D,Table1[[#This Row],[Privacy Domains]],PRADAR!I:I, "Pending")</f>
        <v>0</v>
      </c>
      <c r="E9" s="98">
        <f>COUNTIFS(PRADAR!D:D,Table1[[#This Row],[Privacy Domains]],PRADAR!I:I, "Provided")</f>
        <v>0</v>
      </c>
      <c r="F9" s="97">
        <f>COUNTIFS(PRADAR!D:D,Table1[[#This Row],[Privacy Domains]],PRADAR!I:I, "Closed")</f>
        <v>0</v>
      </c>
      <c r="G9" s="99">
        <f>SUM(Table1[[#This Row],[Not Applicable]:[Closed]])</f>
        <v>0</v>
      </c>
      <c r="H9" s="162" t="e">
        <f>Table1[[#This Row],[Closed]]/Table1[[#This Row],[Total]]</f>
        <v>#DIV/0!</v>
      </c>
    </row>
    <row r="10" spans="1:12" s="4" customFormat="1" ht="18.75" customHeight="1">
      <c r="B10" s="144" t="s">
        <v>37</v>
      </c>
      <c r="C10" s="100">
        <f>COUNTIFS(PRADAR!D:D,Table1[[#This Row],[Privacy Domains]],PRADAR!I:I, "Not Applicable")</f>
        <v>0</v>
      </c>
      <c r="D10" s="97">
        <f>COUNTIFS(PRADAR!D:D,Table1[[#This Row],[Privacy Domains]],PRADAR!I:I, "Pending")</f>
        <v>0</v>
      </c>
      <c r="E10" s="98">
        <f>COUNTIFS(PRADAR!D:D,Table1[[#This Row],[Privacy Domains]],PRADAR!I:I, "Provided")</f>
        <v>0</v>
      </c>
      <c r="F10" s="97">
        <f>COUNTIFS(PRADAR!D:D,Table1[[#This Row],[Privacy Domains]],PRADAR!I:I, "Closed")</f>
        <v>0</v>
      </c>
      <c r="G10" s="99">
        <f>SUM(Table1[[#This Row],[Not Applicable]:[Closed]])</f>
        <v>0</v>
      </c>
      <c r="H10" s="162" t="e">
        <f>Table1[[#This Row],[Closed]]/Table1[[#This Row],[Total]]</f>
        <v>#DIV/0!</v>
      </c>
    </row>
    <row r="11" spans="1:12" s="4" customFormat="1" ht="18.75" customHeight="1">
      <c r="B11" s="144" t="s">
        <v>38</v>
      </c>
      <c r="C11" s="100">
        <f>COUNTIFS(PRADAR!D:D,Table1[[#This Row],[Privacy Domains]],PRADAR!I:I, "Not Applicable")</f>
        <v>0</v>
      </c>
      <c r="D11" s="97">
        <f>COUNTIFS(PRADAR!D:D,Table1[[#This Row],[Privacy Domains]],PRADAR!I:I, "Pending")</f>
        <v>0</v>
      </c>
      <c r="E11" s="98">
        <f>COUNTIFS(PRADAR!D:D,Table1[[#This Row],[Privacy Domains]],PRADAR!I:I, "Provided")</f>
        <v>0</v>
      </c>
      <c r="F11" s="97">
        <f>COUNTIFS(PRADAR!D:D,Table1[[#This Row],[Privacy Domains]],PRADAR!I:I, "Closed")</f>
        <v>0</v>
      </c>
      <c r="G11" s="99">
        <f>SUM(Table1[[#This Row],[Not Applicable]:[Closed]])</f>
        <v>0</v>
      </c>
      <c r="H11" s="162" t="e">
        <f>Table1[[#This Row],[Closed]]/Table1[[#This Row],[Total]]</f>
        <v>#DIV/0!</v>
      </c>
    </row>
    <row r="12" spans="1:12" s="4" customFormat="1" ht="18.75" customHeight="1">
      <c r="B12" s="166" t="s">
        <v>39</v>
      </c>
      <c r="C12" s="167">
        <f>COUNTIFS(PRADAR!D:D,Table1[[#This Row],[Privacy Domains]],PRADAR!I:I, "Not Applicable")</f>
        <v>0</v>
      </c>
      <c r="D12" s="159">
        <f>COUNTIFS(PRADAR!D:D,Table1[[#This Row],[Privacy Domains]],PRADAR!I:I, "Pending")</f>
        <v>0</v>
      </c>
      <c r="E12" s="160">
        <f>COUNTIFS(PRADAR!D:D,Table1[[#This Row],[Privacy Domains]],PRADAR!I:I, "Provided")</f>
        <v>0</v>
      </c>
      <c r="F12" s="159">
        <f>COUNTIFS(PRADAR!D:D,Table1[[#This Row],[Privacy Domains]],PRADAR!I:I, "Closed")</f>
        <v>0</v>
      </c>
      <c r="G12" s="161">
        <f>SUM(Table1[[#This Row],[Not Applicable]:[Closed]])</f>
        <v>0</v>
      </c>
      <c r="H12" s="162" t="e">
        <f>Table1[[#This Row],[Closed]]/Table1[[#This Row],[Total]]</f>
        <v>#DIV/0!</v>
      </c>
    </row>
    <row r="13" spans="1:12" s="4" customFormat="1" ht="18.75" customHeight="1">
      <c r="B13" s="165" t="s">
        <v>40</v>
      </c>
      <c r="C13" s="152">
        <f>COUNTIFS(PRADAR!D:D,Table1[[#This Row],[Privacy Domains]],PRADAR!I:I, "Not Applicable")</f>
        <v>0</v>
      </c>
      <c r="D13" s="153">
        <f>COUNTIFS(PRADAR!D:D,Table1[[#This Row],[Privacy Domains]],PRADAR!I:I, "Pending")</f>
        <v>0</v>
      </c>
      <c r="E13" s="154">
        <f>COUNTIFS(PRADAR!D:D,Table1[[#This Row],[Privacy Domains]],PRADAR!I:I, "Provided")</f>
        <v>0</v>
      </c>
      <c r="F13" s="153">
        <f>COUNTIFS(PRADAR!D:D,Table1[[#This Row],[Privacy Domains]],PRADAR!I:I, "Closed")</f>
        <v>0</v>
      </c>
      <c r="G13" s="155">
        <f>SUM(Table1[[#This Row],[Not Applicable]:[Closed]])</f>
        <v>0</v>
      </c>
      <c r="H13" s="156" t="e">
        <f>Table1[[#This Row],[Closed]]/Table1[[#This Row],[Total]]</f>
        <v>#DIV/0!</v>
      </c>
    </row>
    <row r="14" spans="1:12" s="4" customFormat="1" ht="18.75" customHeight="1">
      <c r="B14" s="163" t="s">
        <v>157</v>
      </c>
      <c r="C14" s="168">
        <f>SUM(C15:C16)</f>
        <v>0</v>
      </c>
      <c r="D14" s="168">
        <f t="shared" ref="D14:G14" si="2">SUM(D15:D16)</f>
        <v>0</v>
      </c>
      <c r="E14" s="168">
        <f t="shared" si="2"/>
        <v>0</v>
      </c>
      <c r="F14" s="168">
        <f t="shared" si="2"/>
        <v>0</v>
      </c>
      <c r="G14" s="168">
        <f t="shared" si="2"/>
        <v>0</v>
      </c>
      <c r="H14" s="172" t="e">
        <f>Table1[[#This Row],[Closed]]/Table1[[#This Row],[Total]]</f>
        <v>#DIV/0!</v>
      </c>
    </row>
    <row r="15" spans="1:12" s="4" customFormat="1" ht="18.75" customHeight="1">
      <c r="B15" s="166" t="s">
        <v>41</v>
      </c>
      <c r="C15" s="159">
        <f>COUNTIFS(PRADAR!D:D,Table1[[#This Row],[Privacy Domains]],PRADAR!I:I, "Not Applicable")</f>
        <v>0</v>
      </c>
      <c r="D15" s="159">
        <f>COUNTIFS(PRADAR!D:D,Table1[[#This Row],[Privacy Domains]],PRADAR!I:I, "Pending")</f>
        <v>0</v>
      </c>
      <c r="E15" s="160">
        <f>COUNTIFS(PRADAR!D:D,Table1[[#This Row],[Privacy Domains]],PRADAR!I:I, "Provided")</f>
        <v>0</v>
      </c>
      <c r="F15" s="159">
        <f>COUNTIFS(PRADAR!D:D,Table1[[#This Row],[Privacy Domains]],PRADAR!I:I, "Closed")</f>
        <v>0</v>
      </c>
      <c r="G15" s="161">
        <f>SUM(Table1[[#This Row],[Not Applicable]:[Closed]])</f>
        <v>0</v>
      </c>
      <c r="H15" s="162" t="e">
        <f>Table1[[#This Row],[Closed]]/Table1[[#This Row],[Total]]</f>
        <v>#DIV/0!</v>
      </c>
    </row>
    <row r="16" spans="1:12" s="4" customFormat="1" ht="18.75" customHeight="1">
      <c r="B16" s="165" t="s">
        <v>42</v>
      </c>
      <c r="C16" s="152">
        <f>COUNTIFS(PRADAR!D:D,Table1[[#This Row],[Privacy Domains]],PRADAR!I:I, "Not Applicable")</f>
        <v>0</v>
      </c>
      <c r="D16" s="153">
        <f>COUNTIFS(PRADAR!D:D,Table1[[#This Row],[Privacy Domains]],PRADAR!I:I, "Pending")</f>
        <v>0</v>
      </c>
      <c r="E16" s="154">
        <f>COUNTIFS(PRADAR!D:D,Table1[[#This Row],[Privacy Domains]],PRADAR!I:I, "Provided")</f>
        <v>0</v>
      </c>
      <c r="F16" s="153">
        <f>COUNTIFS(PRADAR!D:D,Table1[[#This Row],[Privacy Domains]],PRADAR!I:I, "Closed")</f>
        <v>0</v>
      </c>
      <c r="G16" s="155">
        <f>SUM(Table1[[#This Row],[Not Applicable]:[Closed]])</f>
        <v>0</v>
      </c>
      <c r="H16" s="162" t="e">
        <f>Table1[[#This Row],[Closed]]/Table1[[#This Row],[Total]]</f>
        <v>#DIV/0!</v>
      </c>
    </row>
    <row r="17" spans="2:8" s="4" customFormat="1" ht="16.5" customHeight="1">
      <c r="B17" s="169" t="s">
        <v>178</v>
      </c>
      <c r="C17" s="170">
        <f>C4+C6+C14</f>
        <v>0</v>
      </c>
      <c r="D17" s="170">
        <f t="shared" ref="D17:G17" si="3">D4+D6+D14</f>
        <v>0</v>
      </c>
      <c r="E17" s="170">
        <f t="shared" si="3"/>
        <v>0</v>
      </c>
      <c r="F17" s="170">
        <f t="shared" si="3"/>
        <v>0</v>
      </c>
      <c r="G17" s="170">
        <f t="shared" si="3"/>
        <v>0</v>
      </c>
      <c r="H17" s="201" t="e">
        <f>H14+H6+H4</f>
        <v>#DIV/0!</v>
      </c>
    </row>
    <row r="18" spans="2:8" s="4" customFormat="1" ht="17.25" customHeight="1">
      <c r="B18" s="93" t="s">
        <v>179</v>
      </c>
      <c r="C18" s="94" t="e">
        <f>C17/G17</f>
        <v>#DIV/0!</v>
      </c>
      <c r="D18" s="94" t="e">
        <f>D17/G17</f>
        <v>#DIV/0!</v>
      </c>
      <c r="E18" s="96" t="e">
        <f>E17/G17</f>
        <v>#DIV/0!</v>
      </c>
      <c r="F18" s="96" t="e">
        <f>F17/G17</f>
        <v>#DIV/0!</v>
      </c>
      <c r="G18" s="95" t="e">
        <f>SUM(Table1[[#This Row],[Not Applicable]:[Closed]])</f>
        <v>#DIV/0!</v>
      </c>
      <c r="H18" s="202"/>
    </row>
  </sheetData>
  <mergeCells count="2">
    <mergeCell ref="H17:H18"/>
    <mergeCell ref="C2:D2"/>
  </mergeCells>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D84B0-7264-4112-947F-054E0A52A5E7}">
  <sheetPr>
    <tabColor theme="1" tint="0.499984740745262"/>
  </sheetPr>
  <dimension ref="B1:M27"/>
  <sheetViews>
    <sheetView topLeftCell="F1" zoomScale="72" workbookViewId="0">
      <selection activeCell="O13" sqref="O13"/>
    </sheetView>
  </sheetViews>
  <sheetFormatPr defaultRowHeight="15"/>
  <cols>
    <col min="1" max="1" width="5" customWidth="1"/>
    <col min="2" max="2" width="6.28515625" customWidth="1"/>
    <col min="3" max="3" width="21.7109375" customWidth="1"/>
    <col min="4" max="4" width="91.28515625" customWidth="1"/>
    <col min="7" max="7" width="51.5703125" customWidth="1"/>
    <col min="8" max="8" width="9.7109375" customWidth="1"/>
  </cols>
  <sheetData>
    <row r="1" spans="2:13">
      <c r="G1" s="204"/>
      <c r="H1" s="204"/>
      <c r="I1" s="204"/>
      <c r="J1" s="204"/>
      <c r="K1" s="204"/>
      <c r="L1" s="204"/>
      <c r="M1" s="204"/>
    </row>
    <row r="2" spans="2:13" ht="21" hidden="1" customHeight="1">
      <c r="B2" s="207" t="s">
        <v>180</v>
      </c>
      <c r="C2" s="207"/>
      <c r="D2" s="207"/>
      <c r="F2" s="55" t="s">
        <v>181</v>
      </c>
      <c r="G2" s="56" t="s">
        <v>182</v>
      </c>
      <c r="H2" s="56" t="s">
        <v>32</v>
      </c>
    </row>
    <row r="3" spans="2:13" ht="27" hidden="1" customHeight="1">
      <c r="B3" s="208"/>
      <c r="C3" s="209"/>
      <c r="D3" s="210"/>
      <c r="F3" s="57">
        <v>1</v>
      </c>
      <c r="G3" s="58" t="s">
        <v>183</v>
      </c>
      <c r="H3" s="58" t="s">
        <v>184</v>
      </c>
    </row>
    <row r="4" spans="2:13" ht="26.25" hidden="1" customHeight="1">
      <c r="B4" s="37">
        <v>1</v>
      </c>
      <c r="C4" s="38" t="s">
        <v>183</v>
      </c>
      <c r="D4" s="39" t="s">
        <v>185</v>
      </c>
      <c r="F4" s="57">
        <v>2</v>
      </c>
      <c r="G4" s="58" t="s">
        <v>6</v>
      </c>
      <c r="H4" s="58" t="s">
        <v>186</v>
      </c>
    </row>
    <row r="5" spans="2:13" ht="21.75" hidden="1" customHeight="1">
      <c r="B5" s="40">
        <v>2</v>
      </c>
      <c r="C5" s="41" t="s">
        <v>187</v>
      </c>
      <c r="D5" s="39" t="s">
        <v>188</v>
      </c>
      <c r="F5" s="57">
        <v>3</v>
      </c>
      <c r="G5" s="58" t="s">
        <v>189</v>
      </c>
      <c r="H5" s="58" t="s">
        <v>190</v>
      </c>
    </row>
    <row r="6" spans="2:13" ht="22.5" hidden="1" customHeight="1">
      <c r="B6" s="42">
        <v>3</v>
      </c>
      <c r="C6" s="43" t="s">
        <v>191</v>
      </c>
      <c r="D6" s="39" t="s">
        <v>192</v>
      </c>
      <c r="F6" s="57">
        <v>4</v>
      </c>
      <c r="G6" s="58" t="s">
        <v>193</v>
      </c>
      <c r="H6" s="58" t="s">
        <v>194</v>
      </c>
    </row>
    <row r="7" spans="2:13" ht="17.25" hidden="1" customHeight="1">
      <c r="B7" s="44">
        <v>4</v>
      </c>
      <c r="C7" s="45" t="s">
        <v>8</v>
      </c>
      <c r="D7" s="39" t="s">
        <v>195</v>
      </c>
      <c r="F7" s="57">
        <v>5</v>
      </c>
      <c r="G7" s="58" t="s">
        <v>196</v>
      </c>
      <c r="H7" s="58" t="s">
        <v>197</v>
      </c>
    </row>
    <row r="8" spans="2:13" hidden="1">
      <c r="B8" s="46">
        <v>5</v>
      </c>
      <c r="C8" s="47" t="s">
        <v>10</v>
      </c>
      <c r="D8" s="39" t="s">
        <v>198</v>
      </c>
    </row>
    <row r="9" spans="2:13">
      <c r="B9" s="48"/>
      <c r="C9" s="48"/>
      <c r="D9" s="49"/>
      <c r="F9">
        <v>1</v>
      </c>
      <c r="G9" s="215" t="s">
        <v>199</v>
      </c>
      <c r="H9" s="215"/>
      <c r="I9" s="215"/>
      <c r="J9" s="215"/>
      <c r="K9" s="215"/>
      <c r="L9" s="215"/>
      <c r="M9" s="215"/>
    </row>
    <row r="10" spans="2:13">
      <c r="B10" s="48"/>
      <c r="C10" s="48"/>
      <c r="D10" s="49"/>
      <c r="F10">
        <v>2</v>
      </c>
      <c r="G10" s="215" t="s">
        <v>200</v>
      </c>
      <c r="H10" s="215"/>
      <c r="I10" s="215"/>
      <c r="J10" s="215"/>
      <c r="K10" s="215"/>
      <c r="L10" s="215"/>
      <c r="M10" s="215"/>
    </row>
    <row r="11" spans="2:13" ht="29.25" customHeight="1">
      <c r="B11" s="211" t="s">
        <v>201</v>
      </c>
      <c r="C11" s="212"/>
      <c r="D11" s="213"/>
      <c r="F11">
        <v>3</v>
      </c>
      <c r="G11" s="215" t="s">
        <v>202</v>
      </c>
      <c r="H11" s="215"/>
      <c r="I11" s="215"/>
      <c r="J11" s="215"/>
      <c r="K11" s="215"/>
      <c r="L11" s="215"/>
      <c r="M11" s="215"/>
    </row>
    <row r="12" spans="2:13" ht="29.25" customHeight="1">
      <c r="B12" s="141"/>
      <c r="C12" s="142"/>
      <c r="D12" s="143"/>
      <c r="F12">
        <v>4</v>
      </c>
      <c r="G12" s="205" t="s">
        <v>203</v>
      </c>
      <c r="H12" s="205"/>
      <c r="I12" s="205"/>
      <c r="J12" s="205"/>
      <c r="K12" s="205"/>
      <c r="L12" s="205"/>
      <c r="M12" s="205"/>
    </row>
    <row r="13" spans="2:13" ht="30.75" customHeight="1">
      <c r="B13" s="37">
        <v>1</v>
      </c>
      <c r="C13" s="38" t="s">
        <v>204</v>
      </c>
      <c r="D13" s="50" t="s">
        <v>205</v>
      </c>
      <c r="F13">
        <v>5</v>
      </c>
      <c r="G13" s="205" t="s">
        <v>206</v>
      </c>
      <c r="H13" s="205"/>
      <c r="I13" s="205"/>
      <c r="J13" s="205"/>
      <c r="K13" s="205"/>
      <c r="L13" s="205"/>
      <c r="M13" s="205"/>
    </row>
    <row r="14" spans="2:13" ht="20.25">
      <c r="B14" s="44">
        <v>4</v>
      </c>
      <c r="C14" s="45" t="s">
        <v>207</v>
      </c>
      <c r="D14" s="50" t="s">
        <v>208</v>
      </c>
      <c r="F14">
        <v>6</v>
      </c>
      <c r="G14" s="205" t="s">
        <v>209</v>
      </c>
      <c r="H14" s="205"/>
      <c r="I14" s="205"/>
      <c r="J14" s="205"/>
      <c r="K14" s="205"/>
      <c r="L14" s="205"/>
      <c r="M14" s="205"/>
    </row>
    <row r="15" spans="2:13" ht="20.25">
      <c r="B15" s="46">
        <v>5</v>
      </c>
      <c r="C15" s="47" t="s">
        <v>210</v>
      </c>
      <c r="D15" s="50" t="s">
        <v>211</v>
      </c>
    </row>
    <row r="18" spans="2:4" ht="21" customHeight="1">
      <c r="B18" s="214" t="s">
        <v>212</v>
      </c>
      <c r="C18" s="214"/>
      <c r="D18" s="214"/>
    </row>
    <row r="19" spans="2:4" ht="30" customHeight="1">
      <c r="B19" s="206" t="s">
        <v>213</v>
      </c>
      <c r="C19" s="206"/>
      <c r="D19" s="206"/>
    </row>
    <row r="20" spans="2:4" ht="24" customHeight="1">
      <c r="B20" s="37">
        <v>1</v>
      </c>
      <c r="C20" s="38" t="s">
        <v>14</v>
      </c>
      <c r="D20" s="51" t="s">
        <v>214</v>
      </c>
    </row>
    <row r="21" spans="2:4" ht="29.25" customHeight="1">
      <c r="B21" s="40">
        <v>2</v>
      </c>
      <c r="C21" s="41" t="s">
        <v>215</v>
      </c>
      <c r="D21" s="52" t="s">
        <v>216</v>
      </c>
    </row>
    <row r="22" spans="2:4" ht="27.75" customHeight="1">
      <c r="B22" s="42">
        <v>3</v>
      </c>
      <c r="C22" s="43" t="s">
        <v>217</v>
      </c>
      <c r="D22" s="52" t="s">
        <v>218</v>
      </c>
    </row>
    <row r="23" spans="2:4" ht="24" customHeight="1">
      <c r="B23" s="44">
        <v>4</v>
      </c>
      <c r="C23" s="53" t="s">
        <v>219</v>
      </c>
      <c r="D23" s="52" t="s">
        <v>220</v>
      </c>
    </row>
    <row r="24" spans="2:4" ht="30" customHeight="1">
      <c r="B24" s="46">
        <v>5</v>
      </c>
      <c r="C24" s="47" t="s">
        <v>221</v>
      </c>
      <c r="D24" s="52" t="s">
        <v>222</v>
      </c>
    </row>
    <row r="27" spans="2:4">
      <c r="D27" s="54"/>
    </row>
  </sheetData>
  <mergeCells count="12">
    <mergeCell ref="G1:M1"/>
    <mergeCell ref="G14:M14"/>
    <mergeCell ref="B19:D19"/>
    <mergeCell ref="B2:D2"/>
    <mergeCell ref="B3:D3"/>
    <mergeCell ref="B11:D11"/>
    <mergeCell ref="B18:D18"/>
    <mergeCell ref="G9:M9"/>
    <mergeCell ref="G10:M10"/>
    <mergeCell ref="G11:M11"/>
    <mergeCell ref="G13:M13"/>
    <mergeCell ref="G12:M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0A3A80E46853428AF999FF3106C662" ma:contentTypeVersion="3" ma:contentTypeDescription="Create a new document." ma:contentTypeScope="" ma:versionID="9c960118d0f552069b043fcbd41487e6">
  <xsd:schema xmlns:xsd="http://www.w3.org/2001/XMLSchema" xmlns:xs="http://www.w3.org/2001/XMLSchema" xmlns:p="http://schemas.microsoft.com/office/2006/metadata/properties" xmlns:ns2="dd9ce0d1-8a55-4e35-a6f6-375f46ba5c66" targetNamespace="http://schemas.microsoft.com/office/2006/metadata/properties" ma:root="true" ma:fieldsID="beb470ef9a51aec27b1d53dc4d7e9456" ns2:_="">
    <xsd:import namespace="dd9ce0d1-8a55-4e35-a6f6-375f46ba5c6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9ce0d1-8a55-4e35-a6f6-375f46ba5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CCF14B-E9FC-4011-BD0B-B1BFE20015DC}"/>
</file>

<file path=customXml/itemProps2.xml><?xml version="1.0" encoding="utf-8"?>
<ds:datastoreItem xmlns:ds="http://schemas.openxmlformats.org/officeDocument/2006/customXml" ds:itemID="{4E2E60B9-5541-4D35-89E0-EA63D813CD10}"/>
</file>

<file path=customXml/itemProps3.xml><?xml version="1.0" encoding="utf-8"?>
<ds:datastoreItem xmlns:ds="http://schemas.openxmlformats.org/officeDocument/2006/customXml" ds:itemID="{983D6491-8DE3-48A9-B21A-B0E5B7E7E0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Prasad, Karthik</dc:creator>
  <cp:keywords/>
  <dc:description/>
  <cp:lastModifiedBy>Mendoza, Rodolfo Jr D</cp:lastModifiedBy>
  <cp:revision/>
  <dcterms:created xsi:type="dcterms:W3CDTF">2023-02-16T14:01:01Z</dcterms:created>
  <dcterms:modified xsi:type="dcterms:W3CDTF">2025-11-24T02:03:16Z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0x010100C80A3A80E46853428AF999FF3106C662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